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E31500AB-DF34-4C72-94BD-C46844BAC26F}" xr6:coauthVersionLast="47" xr6:coauthVersionMax="47" xr10:uidLastSave="{00000000-0000-0000-0000-000000000000}"/>
  <bookViews>
    <workbookView xWindow="-120" yWindow="-120" windowWidth="29040" windowHeight="15840" firstSheet="2" activeTab="7" xr2:uid="{00000000-000D-0000-FFFF-FFFF00000000}"/>
  </bookViews>
  <sheets>
    <sheet name="Working Sheet" sheetId="1" r:id="rId1"/>
    <sheet name="Pivot Table #1" sheetId="2" r:id="rId2"/>
    <sheet name="Pivot Table #2" sheetId="3" r:id="rId3"/>
    <sheet name="Pivot Table #3" sheetId="4" r:id="rId4"/>
    <sheet name="Pivot Table #4" sheetId="5" r:id="rId5"/>
    <sheet name="Pivot Table #5" sheetId="6" r:id="rId6"/>
    <sheet name="Pivot Table #6" sheetId="9" r:id="rId7"/>
    <sheet name="Dashboard" sheetId="7" r:id="rId8"/>
  </sheets>
  <definedNames>
    <definedName name="_xlnm._FilterDatabase" localSheetId="0" hidden="1">'Working Sheet'!$A$1:$N$801</definedName>
    <definedName name="Slicer_Currency">#N/A</definedName>
    <definedName name="Slicer_Overdue">#N/A</definedName>
    <definedName name="Slicer_Status">#N/A</definedName>
    <definedName name="Slicer_Vendor">#N/A</definedName>
  </definedNames>
  <calcPr calcId="191029"/>
  <pivotCaches>
    <pivotCache cacheId="2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a="1"/>
  <c r="S2" i="1" s="1"/>
  <c r="P2" i="1"/>
  <c r="R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M26" i="1" s="1" a="1"/>
  <c r="M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M46" i="1" s="1" a="1"/>
  <c r="M46" i="1" s="1"/>
  <c r="L47" i="1" a="1"/>
  <c r="L47" i="1" s="1"/>
  <c r="L48" i="1" a="1"/>
  <c r="L48" i="1" s="1"/>
  <c r="L49" i="1" a="1"/>
  <c r="L49" i="1" s="1"/>
  <c r="M49" i="1" s="1" a="1"/>
  <c r="M49" i="1" s="1"/>
  <c r="L50" i="1" a="1"/>
  <c r="L50" i="1" s="1"/>
  <c r="L51" i="1" a="1"/>
  <c r="L51" i="1" s="1"/>
  <c r="L52" i="1" a="1"/>
  <c r="L52" i="1" s="1"/>
  <c r="N52" i="1" s="1" a="1"/>
  <c r="N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M69" i="1" s="1" a="1"/>
  <c r="M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M93" i="1" s="1" a="1"/>
  <c r="M93" i="1" s="1"/>
  <c r="L94" i="1" a="1"/>
  <c r="L94" i="1" s="1"/>
  <c r="L95" i="1" a="1"/>
  <c r="L95" i="1" s="1"/>
  <c r="L96" i="1" a="1"/>
  <c r="L96" i="1" s="1"/>
  <c r="L97" i="1" a="1"/>
  <c r="L97" i="1" s="1"/>
  <c r="M97" i="1" s="1" a="1"/>
  <c r="M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M119" i="1" s="1" a="1"/>
  <c r="M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N129" i="1" s="1" a="1"/>
  <c r="N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M145" i="1" s="1" a="1"/>
  <c r="M145" i="1" s="1"/>
  <c r="L146" i="1" a="1"/>
  <c r="L146" i="1" s="1"/>
  <c r="L147" i="1" a="1"/>
  <c r="L147" i="1" s="1"/>
  <c r="L148" i="1" a="1"/>
  <c r="L148" i="1" s="1"/>
  <c r="M148" i="1" s="1" a="1"/>
  <c r="M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M173" i="1" s="1" a="1"/>
  <c r="M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M196" i="1" s="1" a="1"/>
  <c r="M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M220" i="1" s="1" a="1"/>
  <c r="M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M233" i="1" s="1" a="1"/>
  <c r="M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M244" i="1" s="1" a="1"/>
  <c r="M244" i="1" s="1"/>
  <c r="L245" i="1" a="1"/>
  <c r="L245" i="1" s="1"/>
  <c r="L246" i="1" a="1"/>
  <c r="L246" i="1" s="1"/>
  <c r="M246" i="1" s="1" a="1"/>
  <c r="M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M266" i="1" s="1" a="1"/>
  <c r="M266" i="1" s="1"/>
  <c r="L267" i="1" a="1"/>
  <c r="L267" i="1" s="1"/>
  <c r="L268" i="1" a="1"/>
  <c r="L268" i="1" s="1"/>
  <c r="L269" i="1" a="1"/>
  <c r="L269" i="1" s="1"/>
  <c r="L270" i="1" a="1"/>
  <c r="L270" i="1" s="1"/>
  <c r="L271" i="1" a="1"/>
  <c r="L271" i="1" s="1"/>
  <c r="L272" i="1" a="1"/>
  <c r="L272" i="1" s="1"/>
  <c r="L273" i="1" a="1"/>
  <c r="L273" i="1" s="1"/>
  <c r="M273" i="1" s="1" a="1"/>
  <c r="M273" i="1" s="1"/>
  <c r="L274" i="1" a="1"/>
  <c r="L274" i="1" s="1"/>
  <c r="L275" i="1" a="1"/>
  <c r="L275" i="1" s="1"/>
  <c r="L276" i="1" a="1"/>
  <c r="L276" i="1" s="1"/>
  <c r="L277" i="1" a="1"/>
  <c r="L277" i="1" s="1"/>
  <c r="L278" i="1" a="1"/>
  <c r="L278" i="1" s="1"/>
  <c r="L279" i="1" a="1"/>
  <c r="L279" i="1" s="1"/>
  <c r="M279" i="1" s="1" a="1"/>
  <c r="M279" i="1" s="1"/>
  <c r="L280" i="1" a="1"/>
  <c r="L280" i="1" s="1"/>
  <c r="L281" i="1" a="1"/>
  <c r="L281" i="1" s="1"/>
  <c r="L282" i="1" a="1"/>
  <c r="L282" i="1" s="1"/>
  <c r="L283" i="1" a="1"/>
  <c r="L283" i="1" s="1"/>
  <c r="L284" i="1" a="1"/>
  <c r="L284" i="1" s="1"/>
  <c r="L285" i="1" a="1"/>
  <c r="L285" i="1" s="1"/>
  <c r="L286" i="1" a="1"/>
  <c r="L286" i="1" s="1"/>
  <c r="M286" i="1" s="1" a="1"/>
  <c r="M286" i="1" s="1"/>
  <c r="L287" i="1" a="1"/>
  <c r="L287" i="1" s="1"/>
  <c r="L288" i="1" a="1"/>
  <c r="L288" i="1" s="1"/>
  <c r="L289" i="1" a="1"/>
  <c r="L289" i="1" s="1"/>
  <c r="L290" i="1" a="1"/>
  <c r="L290" i="1" s="1"/>
  <c r="L291" i="1" a="1"/>
  <c r="L291" i="1" s="1"/>
  <c r="M291" i="1" s="1" a="1"/>
  <c r="M291" i="1" s="1"/>
  <c r="L292" i="1" a="1"/>
  <c r="L292" i="1" s="1"/>
  <c r="L293" i="1" a="1"/>
  <c r="L293" i="1" s="1"/>
  <c r="L294" i="1" a="1"/>
  <c r="L294" i="1" s="1"/>
  <c r="L295" i="1" a="1"/>
  <c r="L295" i="1" s="1"/>
  <c r="L296" i="1" a="1"/>
  <c r="L296" i="1" s="1"/>
  <c r="L297" i="1" a="1"/>
  <c r="L297" i="1" s="1"/>
  <c r="L298" i="1" a="1"/>
  <c r="L298" i="1" s="1"/>
  <c r="M298" i="1" s="1" a="1"/>
  <c r="M298" i="1" s="1"/>
  <c r="L299" i="1" a="1"/>
  <c r="L299" i="1" s="1"/>
  <c r="L300" i="1" a="1"/>
  <c r="L300" i="1" s="1"/>
  <c r="L301" i="1" a="1"/>
  <c r="L301" i="1" s="1"/>
  <c r="L302" i="1" a="1"/>
  <c r="L302" i="1" s="1"/>
  <c r="L303" i="1" a="1"/>
  <c r="L303" i="1" s="1"/>
  <c r="L304" i="1" a="1"/>
  <c r="L304" i="1" s="1"/>
  <c r="M304" i="1" s="1" a="1"/>
  <c r="M304" i="1" s="1"/>
  <c r="L305" i="1" a="1"/>
  <c r="L305" i="1" s="1"/>
  <c r="L306" i="1" a="1"/>
  <c r="L306" i="1" s="1"/>
  <c r="L307" i="1" a="1"/>
  <c r="L307" i="1" s="1"/>
  <c r="L308" i="1" a="1"/>
  <c r="L308" i="1" s="1"/>
  <c r="M308" i="1" s="1" a="1"/>
  <c r="M308" i="1" s="1"/>
  <c r="L309" i="1" a="1"/>
  <c r="L309" i="1" s="1"/>
  <c r="L310" i="1" a="1"/>
  <c r="L310" i="1" s="1"/>
  <c r="L311" i="1" a="1"/>
  <c r="L311" i="1" s="1"/>
  <c r="L312" i="1" a="1"/>
  <c r="L312" i="1" s="1"/>
  <c r="L313" i="1" a="1"/>
  <c r="L313" i="1" s="1"/>
  <c r="L314" i="1" a="1"/>
  <c r="L314" i="1" s="1"/>
  <c r="L315" i="1" a="1"/>
  <c r="L315" i="1" s="1"/>
  <c r="L316" i="1" a="1"/>
  <c r="L316" i="1" s="1"/>
  <c r="M316" i="1" s="1" a="1"/>
  <c r="M316" i="1" s="1"/>
  <c r="L317" i="1" a="1"/>
  <c r="L317" i="1" s="1"/>
  <c r="L318" i="1" a="1"/>
  <c r="L318" i="1" s="1"/>
  <c r="L319" i="1" a="1"/>
  <c r="L319" i="1" s="1"/>
  <c r="N319" i="1" s="1" a="1"/>
  <c r="N319" i="1" s="1"/>
  <c r="L320" i="1" a="1"/>
  <c r="L320" i="1" s="1"/>
  <c r="M320" i="1" s="1" a="1"/>
  <c r="M320" i="1" s="1"/>
  <c r="L321" i="1" a="1"/>
  <c r="L321" i="1" s="1"/>
  <c r="L322" i="1" a="1"/>
  <c r="L322" i="1" s="1"/>
  <c r="L323" i="1" a="1"/>
  <c r="L323" i="1" s="1"/>
  <c r="L324" i="1" a="1"/>
  <c r="L324" i="1" s="1"/>
  <c r="M324" i="1" s="1" a="1"/>
  <c r="M324" i="1" s="1"/>
  <c r="L325" i="1" a="1"/>
  <c r="L325" i="1" s="1"/>
  <c r="L326" i="1" a="1"/>
  <c r="L326" i="1" s="1"/>
  <c r="L327" i="1" a="1"/>
  <c r="L327" i="1" s="1"/>
  <c r="L328" i="1" a="1"/>
  <c r="L328" i="1" s="1"/>
  <c r="L329" i="1" a="1"/>
  <c r="L329" i="1" s="1"/>
  <c r="L330" i="1" a="1"/>
  <c r="L330" i="1" s="1"/>
  <c r="L331" i="1" a="1"/>
  <c r="L331" i="1" s="1"/>
  <c r="L332" i="1" a="1"/>
  <c r="L332" i="1" s="1"/>
  <c r="M332" i="1" s="1" a="1"/>
  <c r="M332" i="1" s="1"/>
  <c r="L333" i="1" a="1"/>
  <c r="L333" i="1" s="1"/>
  <c r="L334" i="1" a="1"/>
  <c r="L334" i="1" s="1"/>
  <c r="L335" i="1" a="1"/>
  <c r="L335" i="1" s="1"/>
  <c r="L336" i="1" a="1"/>
  <c r="L336" i="1" s="1"/>
  <c r="M336" i="1" s="1" a="1"/>
  <c r="M336" i="1" s="1"/>
  <c r="L337" i="1" a="1"/>
  <c r="L337" i="1" s="1"/>
  <c r="L338" i="1" a="1"/>
  <c r="L338" i="1" s="1"/>
  <c r="L339" i="1" a="1"/>
  <c r="L339" i="1" s="1"/>
  <c r="L340" i="1" a="1"/>
  <c r="L340" i="1" s="1"/>
  <c r="M340" i="1" s="1" a="1"/>
  <c r="M340" i="1" s="1"/>
  <c r="L341" i="1" a="1"/>
  <c r="L341" i="1" s="1"/>
  <c r="L342" i="1" a="1"/>
  <c r="L342" i="1" s="1"/>
  <c r="L343" i="1" a="1"/>
  <c r="L343" i="1" s="1"/>
  <c r="L344" i="1" a="1"/>
  <c r="L344" i="1" s="1"/>
  <c r="L345" i="1" a="1"/>
  <c r="L345" i="1" s="1"/>
  <c r="M345" i="1" s="1" a="1"/>
  <c r="M345" i="1" s="1"/>
  <c r="L346" i="1" a="1"/>
  <c r="L346" i="1" s="1"/>
  <c r="L347" i="1" a="1"/>
  <c r="L347" i="1" s="1"/>
  <c r="L348" i="1" a="1"/>
  <c r="L348" i="1" s="1"/>
  <c r="L349" i="1" a="1"/>
  <c r="L349" i="1" s="1"/>
  <c r="L350" i="1" a="1"/>
  <c r="L350" i="1" s="1"/>
  <c r="L351" i="1" a="1"/>
  <c r="L351" i="1" s="1"/>
  <c r="M351" i="1" s="1" a="1"/>
  <c r="M351" i="1" s="1"/>
  <c r="L352" i="1" a="1"/>
  <c r="L352" i="1" s="1"/>
  <c r="L353" i="1" a="1"/>
  <c r="L353" i="1" s="1"/>
  <c r="L354" i="1" a="1"/>
  <c r="L354" i="1" s="1"/>
  <c r="L355" i="1" a="1"/>
  <c r="L355" i="1" s="1"/>
  <c r="L356" i="1" a="1"/>
  <c r="L356" i="1" s="1"/>
  <c r="M356" i="1" s="1" a="1"/>
  <c r="M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M377" i="1" s="1" a="1"/>
  <c r="M377" i="1" s="1"/>
  <c r="L378" i="1" a="1"/>
  <c r="L378" i="1" s="1"/>
  <c r="L379" i="1" a="1"/>
  <c r="L379" i="1" s="1"/>
  <c r="L380" i="1" a="1"/>
  <c r="L380" i="1" s="1"/>
  <c r="L381" i="1" a="1"/>
  <c r="L381" i="1" s="1"/>
  <c r="L382" i="1" a="1"/>
  <c r="L382" i="1" s="1"/>
  <c r="L383" i="1" a="1"/>
  <c r="L383" i="1" s="1"/>
  <c r="M383" i="1" s="1" a="1"/>
  <c r="M383" i="1" s="1"/>
  <c r="L384" i="1" a="1"/>
  <c r="L384" i="1" s="1"/>
  <c r="L385" i="1" a="1"/>
  <c r="L385" i="1" s="1"/>
  <c r="L386" i="1" a="1"/>
  <c r="L386" i="1" s="1"/>
  <c r="L387" i="1" a="1"/>
  <c r="L387" i="1" s="1"/>
  <c r="L388" i="1" a="1"/>
  <c r="L388" i="1" s="1"/>
  <c r="M388" i="1" s="1" a="1"/>
  <c r="M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M399" i="1" s="1" a="1"/>
  <c r="M399" i="1" s="1"/>
  <c r="L400" i="1" a="1"/>
  <c r="L400" i="1" s="1"/>
  <c r="L401" i="1" a="1"/>
  <c r="L401" i="1" s="1"/>
  <c r="L402" i="1" a="1"/>
  <c r="L402" i="1" s="1"/>
  <c r="L403" i="1" a="1"/>
  <c r="L403" i="1" s="1"/>
  <c r="L404" i="1" a="1"/>
  <c r="L404" i="1" s="1"/>
  <c r="L405" i="1" a="1"/>
  <c r="L405" i="1" s="1"/>
  <c r="M405" i="1" s="1" a="1"/>
  <c r="M405" i="1" s="1"/>
  <c r="L406" i="1" a="1"/>
  <c r="L406" i="1" s="1"/>
  <c r="L407" i="1" a="1"/>
  <c r="L407" i="1" s="1"/>
  <c r="N407" i="1" s="1" a="1"/>
  <c r="N407" i="1" s="1"/>
  <c r="L408" i="1" a="1"/>
  <c r="L408" i="1" s="1"/>
  <c r="L409" i="1" a="1"/>
  <c r="L409" i="1" s="1"/>
  <c r="L410" i="1" a="1"/>
  <c r="L410" i="1" s="1"/>
  <c r="L411" i="1" a="1"/>
  <c r="L411" i="1" s="1"/>
  <c r="L412" i="1" a="1"/>
  <c r="L412" i="1" s="1"/>
  <c r="L413" i="1" a="1"/>
  <c r="L413" i="1" s="1"/>
  <c r="L414" i="1" a="1"/>
  <c r="L414" i="1" s="1"/>
  <c r="L415" i="1" a="1"/>
  <c r="L415" i="1" s="1"/>
  <c r="N415" i="1" s="1" a="1"/>
  <c r="N415" i="1" s="1"/>
  <c r="L416" i="1" a="1"/>
  <c r="L416" i="1" s="1"/>
  <c r="L417" i="1" a="1"/>
  <c r="L417" i="1" s="1"/>
  <c r="L418" i="1" a="1"/>
  <c r="L418" i="1" s="1"/>
  <c r="M418" i="1" s="1" a="1"/>
  <c r="M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M433" i="1" s="1" a="1"/>
  <c r="M433" i="1" s="1"/>
  <c r="L434" i="1" a="1"/>
  <c r="L434" i="1" s="1"/>
  <c r="L435" i="1" a="1"/>
  <c r="L435" i="1" s="1"/>
  <c r="L436" i="1" a="1"/>
  <c r="L436" i="1" s="1"/>
  <c r="M436" i="1" s="1" a="1"/>
  <c r="M436" i="1" s="1"/>
  <c r="L437" i="1" a="1"/>
  <c r="L437" i="1" s="1"/>
  <c r="L438" i="1" a="1"/>
  <c r="L438" i="1" s="1"/>
  <c r="L439" i="1" a="1"/>
  <c r="L439" i="1" s="1"/>
  <c r="L440" i="1" a="1"/>
  <c r="L440" i="1" s="1"/>
  <c r="M440" i="1" s="1" a="1"/>
  <c r="M440" i="1" s="1"/>
  <c r="L441" i="1" a="1"/>
  <c r="L441" i="1" s="1"/>
  <c r="M441" i="1" s="1" a="1"/>
  <c r="M441" i="1" s="1"/>
  <c r="L442" i="1" a="1"/>
  <c r="L442" i="1" s="1"/>
  <c r="L443" i="1" a="1"/>
  <c r="L443" i="1" s="1"/>
  <c r="L444" i="1" a="1"/>
  <c r="L444" i="1" s="1"/>
  <c r="L445" i="1" a="1"/>
  <c r="L445" i="1" s="1"/>
  <c r="M445" i="1" s="1" a="1"/>
  <c r="M445" i="1" s="1"/>
  <c r="L446" i="1" a="1"/>
  <c r="L446" i="1" s="1"/>
  <c r="L447" i="1" a="1"/>
  <c r="L447" i="1" s="1"/>
  <c r="N447" i="1" s="1" a="1"/>
  <c r="N447" i="1" s="1"/>
  <c r="L448" i="1" a="1"/>
  <c r="L448" i="1" s="1"/>
  <c r="L449" i="1" a="1"/>
  <c r="L449" i="1" s="1"/>
  <c r="L450" i="1" a="1"/>
  <c r="L450" i="1" s="1"/>
  <c r="L451" i="1" a="1"/>
  <c r="L451" i="1" s="1"/>
  <c r="L452" i="1" a="1"/>
  <c r="L452" i="1" s="1"/>
  <c r="M452" i="1" s="1" a="1"/>
  <c r="M452" i="1" s="1"/>
  <c r="L453" i="1" a="1"/>
  <c r="L453" i="1" s="1"/>
  <c r="L454" i="1" a="1"/>
  <c r="L454" i="1" s="1"/>
  <c r="N454" i="1" s="1" a="1"/>
  <c r="N454" i="1" s="1"/>
  <c r="L455" i="1" a="1"/>
  <c r="L455" i="1" s="1"/>
  <c r="M455" i="1" s="1" a="1"/>
  <c r="M455" i="1" s="1"/>
  <c r="L456" i="1" a="1"/>
  <c r="L456" i="1" s="1"/>
  <c r="L457" i="1" a="1"/>
  <c r="L457" i="1" s="1"/>
  <c r="L458" i="1" a="1"/>
  <c r="L458" i="1" s="1"/>
  <c r="L459" i="1" a="1"/>
  <c r="L459" i="1" s="1"/>
  <c r="M459" i="1" s="1" a="1"/>
  <c r="M459" i="1" s="1"/>
  <c r="L460" i="1" a="1"/>
  <c r="L460" i="1" s="1"/>
  <c r="L461" i="1" a="1"/>
  <c r="L461" i="1" s="1"/>
  <c r="M461" i="1" s="1" a="1"/>
  <c r="M461" i="1" s="1"/>
  <c r="L462" i="1" a="1"/>
  <c r="L462" i="1" s="1"/>
  <c r="L463" i="1" a="1"/>
  <c r="L463" i="1" s="1"/>
  <c r="L464" i="1" a="1"/>
  <c r="L464" i="1" s="1"/>
  <c r="L465" i="1" a="1"/>
  <c r="L465" i="1" s="1"/>
  <c r="L466" i="1" a="1"/>
  <c r="L466" i="1" s="1"/>
  <c r="L467" i="1" a="1"/>
  <c r="L467" i="1" s="1"/>
  <c r="L468" i="1" a="1"/>
  <c r="L468" i="1" s="1"/>
  <c r="M468" i="1" s="1" a="1"/>
  <c r="M468" i="1" s="1"/>
  <c r="L469" i="1" a="1"/>
  <c r="L469" i="1" s="1"/>
  <c r="L470" i="1" a="1"/>
  <c r="L470" i="1" s="1"/>
  <c r="L471" i="1" a="1"/>
  <c r="L471" i="1" s="1"/>
  <c r="L472" i="1" a="1"/>
  <c r="L472" i="1" s="1"/>
  <c r="M472" i="1" s="1" a="1"/>
  <c r="M472" i="1" s="1"/>
  <c r="L473" i="1" a="1"/>
  <c r="L473" i="1" s="1"/>
  <c r="L474" i="1" a="1"/>
  <c r="L474" i="1" s="1"/>
  <c r="M474" i="1" s="1" a="1"/>
  <c r="M474" i="1" s="1"/>
  <c r="L475" i="1" a="1"/>
  <c r="L475" i="1" s="1"/>
  <c r="L476" i="1" a="1"/>
  <c r="L476" i="1" s="1"/>
  <c r="L477" i="1" a="1"/>
  <c r="L477" i="1" s="1"/>
  <c r="L478" i="1" a="1"/>
  <c r="L478" i="1" s="1"/>
  <c r="M478" i="1" s="1" a="1"/>
  <c r="M478" i="1" s="1"/>
  <c r="L479" i="1" a="1"/>
  <c r="L479" i="1" s="1"/>
  <c r="M479" i="1" s="1" a="1"/>
  <c r="M479" i="1" s="1"/>
  <c r="L480" i="1" a="1"/>
  <c r="L480" i="1" s="1"/>
  <c r="L481" i="1" a="1"/>
  <c r="L481" i="1" s="1"/>
  <c r="L482" i="1" a="1"/>
  <c r="L482" i="1" s="1"/>
  <c r="M482" i="1" s="1" a="1"/>
  <c r="M482" i="1" s="1"/>
  <c r="L483" i="1" a="1"/>
  <c r="L483" i="1" s="1"/>
  <c r="L484" i="1" a="1"/>
  <c r="L484" i="1" s="1"/>
  <c r="L485" i="1" a="1"/>
  <c r="L485" i="1" s="1"/>
  <c r="L486" i="1" a="1"/>
  <c r="L486" i="1" s="1"/>
  <c r="L487" i="1" a="1"/>
  <c r="L487" i="1" s="1"/>
  <c r="L488" i="1" a="1"/>
  <c r="L488" i="1" s="1"/>
  <c r="L489" i="1" a="1"/>
  <c r="L489" i="1" s="1"/>
  <c r="M489" i="1" s="1" a="1"/>
  <c r="M489" i="1" s="1"/>
  <c r="L490" i="1" a="1"/>
  <c r="L490" i="1" s="1"/>
  <c r="L491" i="1" a="1"/>
  <c r="L491" i="1" s="1"/>
  <c r="L492" i="1" a="1"/>
  <c r="L492" i="1" s="1"/>
  <c r="M492" i="1" s="1" a="1"/>
  <c r="M492" i="1" s="1"/>
  <c r="L493" i="1" a="1"/>
  <c r="L493" i="1" s="1"/>
  <c r="L494" i="1" a="1"/>
  <c r="L494" i="1" s="1"/>
  <c r="L495" i="1" a="1"/>
  <c r="L495" i="1" s="1"/>
  <c r="L496" i="1" a="1"/>
  <c r="L496" i="1" s="1"/>
  <c r="L497" i="1" a="1"/>
  <c r="L497" i="1" s="1"/>
  <c r="L498" i="1" a="1"/>
  <c r="L498" i="1" s="1"/>
  <c r="M498" i="1" s="1" a="1"/>
  <c r="M498" i="1" s="1"/>
  <c r="L499" i="1" a="1"/>
  <c r="L499" i="1" s="1"/>
  <c r="L500" i="1" a="1"/>
  <c r="L500" i="1" s="1"/>
  <c r="L501" i="1" a="1"/>
  <c r="L501" i="1" s="1"/>
  <c r="M501" i="1" s="1" a="1"/>
  <c r="M501" i="1" s="1"/>
  <c r="L502" i="1" a="1"/>
  <c r="L502" i="1" s="1"/>
  <c r="L503" i="1" a="1"/>
  <c r="L503" i="1" s="1"/>
  <c r="L504" i="1" a="1"/>
  <c r="L504" i="1" s="1"/>
  <c r="L505" i="1" a="1"/>
  <c r="L505" i="1" s="1"/>
  <c r="M505" i="1" s="1" a="1"/>
  <c r="M505" i="1" s="1"/>
  <c r="L506" i="1" a="1"/>
  <c r="L506" i="1" s="1"/>
  <c r="N506" i="1" s="1" a="1"/>
  <c r="N506" i="1" s="1"/>
  <c r="L507" i="1" a="1"/>
  <c r="L507" i="1" s="1"/>
  <c r="M507" i="1" s="1" a="1"/>
  <c r="M507" i="1" s="1"/>
  <c r="L508" i="1" a="1"/>
  <c r="L508" i="1" s="1"/>
  <c r="M508" i="1" s="1" a="1"/>
  <c r="M508" i="1" s="1"/>
  <c r="L509" i="1" a="1"/>
  <c r="L509" i="1" s="1"/>
  <c r="L510" i="1" a="1"/>
  <c r="L510" i="1" s="1"/>
  <c r="L511" i="1" a="1"/>
  <c r="L511" i="1" s="1"/>
  <c r="M511" i="1" s="1" a="1"/>
  <c r="M511" i="1" s="1"/>
  <c r="L512" i="1" a="1"/>
  <c r="L512" i="1" s="1"/>
  <c r="L513" i="1" a="1"/>
  <c r="L513" i="1" s="1"/>
  <c r="L514" i="1" a="1"/>
  <c r="L514" i="1" s="1"/>
  <c r="L515" i="1" a="1"/>
  <c r="L515" i="1" s="1"/>
  <c r="L516" i="1" a="1"/>
  <c r="L516" i="1" s="1"/>
  <c r="L517" i="1" a="1"/>
  <c r="L517" i="1" s="1"/>
  <c r="M517" i="1" s="1" a="1"/>
  <c r="M517" i="1" s="1"/>
  <c r="L518" i="1" a="1"/>
  <c r="L518" i="1" s="1"/>
  <c r="L519" i="1" a="1"/>
  <c r="L519" i="1" s="1"/>
  <c r="L520" i="1" a="1"/>
  <c r="L520" i="1" s="1"/>
  <c r="L521" i="1" a="1"/>
  <c r="L521" i="1" s="1"/>
  <c r="M521" i="1" s="1" a="1"/>
  <c r="M521" i="1" s="1"/>
  <c r="L522" i="1" a="1"/>
  <c r="L522" i="1" s="1"/>
  <c r="L523" i="1" a="1"/>
  <c r="L523" i="1" s="1"/>
  <c r="L524" i="1" a="1"/>
  <c r="L524" i="1" s="1"/>
  <c r="M524" i="1" s="1" a="1"/>
  <c r="M524" i="1" s="1"/>
  <c r="L525" i="1" a="1"/>
  <c r="L525" i="1" s="1"/>
  <c r="L526" i="1" a="1"/>
  <c r="L526" i="1" s="1"/>
  <c r="L527" i="1" a="1"/>
  <c r="L527" i="1" s="1"/>
  <c r="M527" i="1" s="1" a="1"/>
  <c r="M527" i="1" s="1"/>
  <c r="L528" i="1" a="1"/>
  <c r="L528" i="1" s="1"/>
  <c r="L529" i="1" a="1"/>
  <c r="L529" i="1" s="1"/>
  <c r="L530" i="1" a="1"/>
  <c r="L530" i="1" s="1"/>
  <c r="M530" i="1" s="1" a="1"/>
  <c r="M530" i="1" s="1"/>
  <c r="L531" i="1" a="1"/>
  <c r="L531" i="1" s="1"/>
  <c r="L532" i="1" a="1"/>
  <c r="L532" i="1" s="1"/>
  <c r="L533" i="1" a="1"/>
  <c r="L533" i="1" s="1"/>
  <c r="L534" i="1" a="1"/>
  <c r="L534" i="1" s="1"/>
  <c r="L535" i="1" a="1"/>
  <c r="L535" i="1" s="1"/>
  <c r="L536" i="1" a="1"/>
  <c r="L536" i="1" s="1"/>
  <c r="L537" i="1" a="1"/>
  <c r="L537" i="1" s="1"/>
  <c r="M537" i="1" s="1" a="1"/>
  <c r="M537" i="1" s="1"/>
  <c r="L538" i="1" a="1"/>
  <c r="L538" i="1" s="1"/>
  <c r="L539" i="1" a="1"/>
  <c r="L539" i="1" s="1"/>
  <c r="L540" i="1" a="1"/>
  <c r="L540" i="1" s="1"/>
  <c r="L541" i="1" a="1"/>
  <c r="L541" i="1" s="1"/>
  <c r="L542" i="1" a="1"/>
  <c r="L542" i="1" s="1"/>
  <c r="L543" i="1" a="1"/>
  <c r="L543" i="1" s="1"/>
  <c r="M543" i="1" s="1" a="1"/>
  <c r="M543" i="1" s="1"/>
  <c r="L544" i="1" a="1"/>
  <c r="L544" i="1" s="1"/>
  <c r="L545" i="1" a="1"/>
  <c r="L545" i="1" s="1"/>
  <c r="L546" i="1" a="1"/>
  <c r="L546" i="1" s="1"/>
  <c r="L547" i="1" a="1"/>
  <c r="L547" i="1" s="1"/>
  <c r="L548" i="1" a="1"/>
  <c r="L548" i="1" s="1"/>
  <c r="L549" i="1" a="1"/>
  <c r="L549" i="1" s="1"/>
  <c r="L550" i="1" a="1"/>
  <c r="L550" i="1" s="1"/>
  <c r="L551" i="1" a="1"/>
  <c r="L551" i="1" s="1"/>
  <c r="L552" i="1" a="1"/>
  <c r="L552" i="1" s="1"/>
  <c r="M552" i="1" s="1" a="1"/>
  <c r="M552" i="1" s="1"/>
  <c r="L553" i="1" a="1"/>
  <c r="L553" i="1" s="1"/>
  <c r="L554" i="1" a="1"/>
  <c r="L554" i="1" s="1"/>
  <c r="L555" i="1" a="1"/>
  <c r="L555" i="1" s="1"/>
  <c r="M555" i="1" s="1" a="1"/>
  <c r="M555" i="1" s="1"/>
  <c r="L556" i="1" a="1"/>
  <c r="L556" i="1" s="1"/>
  <c r="M556" i="1" s="1" a="1"/>
  <c r="M556" i="1" s="1"/>
  <c r="L557" i="1" a="1"/>
  <c r="L557" i="1" s="1"/>
  <c r="L558" i="1" a="1"/>
  <c r="L558" i="1" s="1"/>
  <c r="L559" i="1" a="1"/>
  <c r="L559" i="1" s="1"/>
  <c r="M559" i="1" s="1" a="1"/>
  <c r="M559" i="1" s="1"/>
  <c r="L560" i="1" a="1"/>
  <c r="L560" i="1" s="1"/>
  <c r="L561" i="1" a="1"/>
  <c r="L561" i="1" s="1"/>
  <c r="L562" i="1" a="1"/>
  <c r="L562" i="1" s="1"/>
  <c r="M562" i="1" s="1" a="1"/>
  <c r="M562" i="1" s="1"/>
  <c r="L563" i="1" a="1"/>
  <c r="L563" i="1" s="1"/>
  <c r="L564" i="1" a="1"/>
  <c r="L564" i="1" s="1"/>
  <c r="L565" i="1" a="1"/>
  <c r="L565" i="1" s="1"/>
  <c r="M565" i="1" s="1" a="1"/>
  <c r="M565" i="1" s="1"/>
  <c r="L566" i="1" a="1"/>
  <c r="L566" i="1" s="1"/>
  <c r="L567" i="1" a="1"/>
  <c r="L567" i="1" s="1"/>
  <c r="L568" i="1" a="1"/>
  <c r="L568" i="1" s="1"/>
  <c r="M568" i="1" s="1" a="1"/>
  <c r="M568" i="1" s="1"/>
  <c r="L569" i="1" a="1"/>
  <c r="L569" i="1" s="1"/>
  <c r="M569" i="1" s="1" a="1"/>
  <c r="M569" i="1" s="1"/>
  <c r="L570" i="1" a="1"/>
  <c r="L570" i="1" s="1"/>
  <c r="L571" i="1" a="1"/>
  <c r="L571" i="1" s="1"/>
  <c r="M571" i="1" s="1" a="1"/>
  <c r="M571" i="1" s="1"/>
  <c r="L572" i="1" a="1"/>
  <c r="L572" i="1" s="1"/>
  <c r="L573" i="1" a="1"/>
  <c r="L573" i="1" s="1"/>
  <c r="L574" i="1" a="1"/>
  <c r="L574" i="1" s="1"/>
  <c r="M574" i="1" s="1" a="1"/>
  <c r="M574" i="1" s="1"/>
  <c r="L575" i="1" a="1"/>
  <c r="L575" i="1" s="1"/>
  <c r="M575" i="1" s="1" a="1"/>
  <c r="M575" i="1" s="1"/>
  <c r="L576" i="1" a="1"/>
  <c r="L576" i="1" s="1"/>
  <c r="L577" i="1" a="1"/>
  <c r="L577" i="1" s="1"/>
  <c r="L578" i="1" a="1"/>
  <c r="L578" i="1" s="1"/>
  <c r="M578" i="1" s="1" a="1"/>
  <c r="M578" i="1" s="1"/>
  <c r="L579" i="1" a="1"/>
  <c r="L579" i="1" s="1"/>
  <c r="L580" i="1" a="1"/>
  <c r="L580" i="1" s="1"/>
  <c r="L581" i="1" a="1"/>
  <c r="L581" i="1" s="1"/>
  <c r="M581" i="1" s="1" a="1"/>
  <c r="M581" i="1" s="1"/>
  <c r="L582" i="1" a="1"/>
  <c r="L582" i="1" s="1"/>
  <c r="L583" i="1" a="1"/>
  <c r="L583" i="1" s="1"/>
  <c r="L584" i="1" a="1"/>
  <c r="L584" i="1" s="1"/>
  <c r="L585" i="1" a="1"/>
  <c r="L585" i="1" s="1"/>
  <c r="M585" i="1" s="1" a="1"/>
  <c r="M585" i="1" s="1"/>
  <c r="L586" i="1" a="1"/>
  <c r="L586" i="1" s="1"/>
  <c r="L587" i="1" a="1"/>
  <c r="L587" i="1" s="1"/>
  <c r="L588" i="1" a="1"/>
  <c r="L588" i="1" s="1"/>
  <c r="M588" i="1" s="1" a="1"/>
  <c r="M588" i="1" s="1"/>
  <c r="L589" i="1" a="1"/>
  <c r="L589" i="1" s="1"/>
  <c r="L590" i="1" a="1"/>
  <c r="L590" i="1" s="1"/>
  <c r="L591" i="1" a="1"/>
  <c r="L591" i="1" s="1"/>
  <c r="L592" i="1" a="1"/>
  <c r="L592" i="1" s="1"/>
  <c r="L593" i="1" a="1"/>
  <c r="L593" i="1" s="1"/>
  <c r="L594" i="1" a="1"/>
  <c r="L594" i="1" s="1"/>
  <c r="M594" i="1" s="1" a="1"/>
  <c r="M594" i="1" s="1"/>
  <c r="L595" i="1" a="1"/>
  <c r="L595" i="1" s="1"/>
  <c r="L596" i="1" a="1"/>
  <c r="L596" i="1" s="1"/>
  <c r="L597" i="1" a="1"/>
  <c r="L597" i="1" s="1"/>
  <c r="L598" i="1" a="1"/>
  <c r="L598" i="1" s="1"/>
  <c r="L599" i="1" a="1"/>
  <c r="L599" i="1" s="1"/>
  <c r="L600" i="1" a="1"/>
  <c r="L600" i="1" s="1"/>
  <c r="L601" i="1" a="1"/>
  <c r="L601" i="1" s="1"/>
  <c r="M601" i="1" s="1" a="1"/>
  <c r="M601" i="1" s="1"/>
  <c r="L602" i="1" a="1"/>
  <c r="L602" i="1" s="1"/>
  <c r="L603" i="1" a="1"/>
  <c r="L603" i="1" s="1"/>
  <c r="L604" i="1" a="1"/>
  <c r="L604" i="1" s="1"/>
  <c r="L605" i="1" a="1"/>
  <c r="L605" i="1" s="1"/>
  <c r="L606" i="1" a="1"/>
  <c r="L606" i="1" s="1"/>
  <c r="L607" i="1" a="1"/>
  <c r="L607" i="1" s="1"/>
  <c r="M607" i="1" s="1" a="1"/>
  <c r="M607" i="1" s="1"/>
  <c r="L608" i="1" a="1"/>
  <c r="L608" i="1" s="1"/>
  <c r="L609" i="1" a="1"/>
  <c r="L609" i="1" s="1"/>
  <c r="L610" i="1" a="1"/>
  <c r="L610" i="1" s="1"/>
  <c r="L611" i="1" a="1"/>
  <c r="L611" i="1" s="1"/>
  <c r="L612" i="1" a="1"/>
  <c r="L612" i="1" s="1"/>
  <c r="L613" i="1" a="1"/>
  <c r="L613" i="1" s="1"/>
  <c r="L614" i="1" a="1"/>
  <c r="L614" i="1" s="1"/>
  <c r="L615" i="1" a="1"/>
  <c r="L615" i="1" s="1"/>
  <c r="L616" i="1" a="1"/>
  <c r="L616" i="1" s="1"/>
  <c r="M616" i="1" s="1" a="1"/>
  <c r="M616" i="1" s="1"/>
  <c r="L617" i="1" a="1"/>
  <c r="L617" i="1" s="1"/>
  <c r="L618" i="1" a="1"/>
  <c r="L618" i="1" s="1"/>
  <c r="L619" i="1" a="1"/>
  <c r="L619" i="1" s="1"/>
  <c r="M619" i="1" s="1" a="1"/>
  <c r="M619" i="1" s="1"/>
  <c r="L620" i="1" a="1"/>
  <c r="L620" i="1" s="1"/>
  <c r="M620" i="1" s="1" a="1"/>
  <c r="M620" i="1" s="1"/>
  <c r="L621" i="1" a="1"/>
  <c r="L621" i="1" s="1"/>
  <c r="L622" i="1" a="1"/>
  <c r="L622" i="1" s="1"/>
  <c r="L623" i="1" a="1"/>
  <c r="L623" i="1" s="1"/>
  <c r="M623" i="1" s="1" a="1"/>
  <c r="M623" i="1" s="1"/>
  <c r="L624" i="1" a="1"/>
  <c r="L624" i="1" s="1"/>
  <c r="L625" i="1" a="1"/>
  <c r="L625" i="1" s="1"/>
  <c r="L626" i="1" a="1"/>
  <c r="L626" i="1" s="1"/>
  <c r="M626" i="1" s="1" a="1"/>
  <c r="M626" i="1" s="1"/>
  <c r="L627" i="1" a="1"/>
  <c r="L627" i="1" s="1"/>
  <c r="L628" i="1" a="1"/>
  <c r="L628" i="1" s="1"/>
  <c r="L629" i="1" a="1"/>
  <c r="L629" i="1" s="1"/>
  <c r="M629" i="1" s="1" a="1"/>
  <c r="M629" i="1" s="1"/>
  <c r="L630" i="1" a="1"/>
  <c r="L630" i="1" s="1"/>
  <c r="L631" i="1" a="1"/>
  <c r="L631" i="1" s="1"/>
  <c r="L632" i="1" a="1"/>
  <c r="L632" i="1" s="1"/>
  <c r="M632" i="1" s="1" a="1"/>
  <c r="M632" i="1" s="1"/>
  <c r="L633" i="1" a="1"/>
  <c r="L633" i="1" s="1"/>
  <c r="M633" i="1" s="1" a="1"/>
  <c r="M633" i="1" s="1"/>
  <c r="L634" i="1" a="1"/>
  <c r="L634" i="1" s="1"/>
  <c r="L635" i="1" a="1"/>
  <c r="L635" i="1" s="1"/>
  <c r="M635" i="1" s="1" a="1"/>
  <c r="M635" i="1" s="1"/>
  <c r="L636" i="1" a="1"/>
  <c r="L636" i="1" s="1"/>
  <c r="L637" i="1" a="1"/>
  <c r="L637" i="1" s="1"/>
  <c r="L638" i="1" a="1"/>
  <c r="L638" i="1" s="1"/>
  <c r="M638" i="1" s="1" a="1"/>
  <c r="M638" i="1" s="1"/>
  <c r="L639" i="1" a="1"/>
  <c r="L639" i="1" s="1"/>
  <c r="M639" i="1" s="1" a="1"/>
  <c r="M639" i="1" s="1"/>
  <c r="L640" i="1" a="1"/>
  <c r="L640" i="1" s="1"/>
  <c r="L641" i="1" a="1"/>
  <c r="L641" i="1" s="1"/>
  <c r="L642" i="1" a="1"/>
  <c r="L642" i="1" s="1"/>
  <c r="M642" i="1" s="1" a="1"/>
  <c r="M642" i="1" s="1"/>
  <c r="L643" i="1" a="1"/>
  <c r="L643" i="1" s="1"/>
  <c r="L644" i="1" a="1"/>
  <c r="L644" i="1" s="1"/>
  <c r="L645" i="1" a="1"/>
  <c r="L645" i="1" s="1"/>
  <c r="M645" i="1" s="1" a="1"/>
  <c r="M645" i="1" s="1"/>
  <c r="L646" i="1" a="1"/>
  <c r="L646" i="1" s="1"/>
  <c r="L647" i="1" a="1"/>
  <c r="L647" i="1" s="1"/>
  <c r="L648" i="1" a="1"/>
  <c r="L648" i="1" s="1"/>
  <c r="L649" i="1" a="1"/>
  <c r="L649" i="1" s="1"/>
  <c r="M649" i="1" s="1" a="1"/>
  <c r="M649" i="1" s="1"/>
  <c r="L650" i="1" a="1"/>
  <c r="L650" i="1" s="1"/>
  <c r="L651" i="1" a="1"/>
  <c r="L651" i="1" s="1"/>
  <c r="L652" i="1" a="1"/>
  <c r="L652" i="1" s="1"/>
  <c r="M652" i="1" s="1" a="1"/>
  <c r="M652" i="1" s="1"/>
  <c r="L653" i="1" a="1"/>
  <c r="L653" i="1" s="1"/>
  <c r="L654" i="1" a="1"/>
  <c r="L654" i="1" s="1"/>
  <c r="L655" i="1" a="1"/>
  <c r="L655" i="1" s="1"/>
  <c r="L656" i="1" a="1"/>
  <c r="L656" i="1" s="1"/>
  <c r="L657" i="1" a="1"/>
  <c r="L657" i="1" s="1"/>
  <c r="L658" i="1" a="1"/>
  <c r="L658" i="1" s="1"/>
  <c r="M658" i="1" s="1" a="1"/>
  <c r="M658" i="1" s="1"/>
  <c r="L659" i="1" a="1"/>
  <c r="L659" i="1" s="1"/>
  <c r="L660" i="1" a="1"/>
  <c r="L660" i="1" s="1"/>
  <c r="L661" i="1" a="1"/>
  <c r="L661" i="1" s="1"/>
  <c r="L662" i="1" a="1"/>
  <c r="L662" i="1" s="1"/>
  <c r="L663" i="1" a="1"/>
  <c r="L663" i="1" s="1"/>
  <c r="L664" i="1" a="1"/>
  <c r="L664" i="1" s="1"/>
  <c r="L665" i="1" a="1"/>
  <c r="L665" i="1" s="1"/>
  <c r="M665" i="1" s="1" a="1"/>
  <c r="M665" i="1" s="1"/>
  <c r="L666" i="1" a="1"/>
  <c r="L666" i="1" s="1"/>
  <c r="L667" i="1" a="1"/>
  <c r="L667" i="1" s="1"/>
  <c r="L668" i="1" a="1"/>
  <c r="L668" i="1" s="1"/>
  <c r="L669" i="1" a="1"/>
  <c r="L669" i="1" s="1"/>
  <c r="L670" i="1" a="1"/>
  <c r="L670" i="1" s="1"/>
  <c r="L671" i="1" a="1"/>
  <c r="L671" i="1" s="1"/>
  <c r="M671" i="1" s="1" a="1"/>
  <c r="M671" i="1" s="1"/>
  <c r="L672" i="1" a="1"/>
  <c r="L672" i="1" s="1"/>
  <c r="L673" i="1" a="1"/>
  <c r="L673" i="1" s="1"/>
  <c r="L674" i="1" a="1"/>
  <c r="L674" i="1" s="1"/>
  <c r="L675" i="1" a="1"/>
  <c r="L675" i="1" s="1"/>
  <c r="L676" i="1" a="1"/>
  <c r="L676" i="1" s="1"/>
  <c r="L677" i="1" a="1"/>
  <c r="L677" i="1" s="1"/>
  <c r="L678" i="1" a="1"/>
  <c r="L678" i="1" s="1"/>
  <c r="L679" i="1" a="1"/>
  <c r="L679" i="1" s="1"/>
  <c r="L680" i="1" a="1"/>
  <c r="L680" i="1" s="1"/>
  <c r="M680" i="1" s="1" a="1"/>
  <c r="M680" i="1" s="1"/>
  <c r="L681" i="1" a="1"/>
  <c r="L681" i="1" s="1"/>
  <c r="L682" i="1" a="1"/>
  <c r="L682" i="1" s="1"/>
  <c r="L683" i="1" a="1"/>
  <c r="L683" i="1" s="1"/>
  <c r="L684" i="1" a="1"/>
  <c r="L684" i="1" s="1"/>
  <c r="M684" i="1" s="1" a="1"/>
  <c r="M684" i="1" s="1"/>
  <c r="L685" i="1" a="1"/>
  <c r="L685" i="1" s="1"/>
  <c r="M685" i="1" s="1" a="1"/>
  <c r="M685" i="1" s="1"/>
  <c r="L686" i="1" a="1"/>
  <c r="L686" i="1" s="1"/>
  <c r="L687" i="1" a="1"/>
  <c r="L687" i="1" s="1"/>
  <c r="L688" i="1" a="1"/>
  <c r="L688" i="1" s="1"/>
  <c r="M688" i="1" s="1" a="1"/>
  <c r="M688" i="1" s="1"/>
  <c r="L689" i="1" a="1"/>
  <c r="L689" i="1" s="1"/>
  <c r="L690" i="1" a="1"/>
  <c r="L690" i="1" s="1"/>
  <c r="L691" i="1" a="1"/>
  <c r="L691" i="1" s="1"/>
  <c r="L692" i="1" a="1"/>
  <c r="L692" i="1" s="1"/>
  <c r="M692" i="1" s="1" a="1"/>
  <c r="M692" i="1" s="1"/>
  <c r="L693" i="1" a="1"/>
  <c r="L693" i="1" s="1"/>
  <c r="M693" i="1" s="1" a="1"/>
  <c r="M693" i="1" s="1"/>
  <c r="L694" i="1" a="1"/>
  <c r="L694" i="1" s="1"/>
  <c r="N694" i="1" s="1" a="1"/>
  <c r="N694" i="1" s="1"/>
  <c r="L695" i="1" a="1"/>
  <c r="L695" i="1" s="1"/>
  <c r="L696" i="1" a="1"/>
  <c r="L696" i="1" s="1"/>
  <c r="M696" i="1" s="1" a="1"/>
  <c r="M696" i="1" s="1"/>
  <c r="L697" i="1" a="1"/>
  <c r="L697" i="1" s="1"/>
  <c r="L698" i="1" a="1"/>
  <c r="L698" i="1" s="1"/>
  <c r="L699" i="1" a="1"/>
  <c r="L699" i="1" s="1"/>
  <c r="L700" i="1" a="1"/>
  <c r="L700" i="1" s="1"/>
  <c r="M700" i="1" s="1" a="1"/>
  <c r="M700" i="1" s="1"/>
  <c r="L701" i="1" a="1"/>
  <c r="L701" i="1" s="1"/>
  <c r="M701" i="1" s="1" a="1"/>
  <c r="M701" i="1" s="1"/>
  <c r="L702" i="1" a="1"/>
  <c r="L702" i="1" s="1"/>
  <c r="L703" i="1" a="1"/>
  <c r="L703" i="1" s="1"/>
  <c r="L704" i="1" a="1"/>
  <c r="L704" i="1" s="1"/>
  <c r="M704" i="1" s="1" a="1"/>
  <c r="M704" i="1" s="1"/>
  <c r="L705" i="1" a="1"/>
  <c r="L705" i="1" s="1"/>
  <c r="L706" i="1" a="1"/>
  <c r="L706" i="1" s="1"/>
  <c r="L707" i="1" a="1"/>
  <c r="L707" i="1" s="1"/>
  <c r="L708" i="1" a="1"/>
  <c r="L708" i="1" s="1"/>
  <c r="M708" i="1" s="1" a="1"/>
  <c r="M708" i="1" s="1"/>
  <c r="L709" i="1" a="1"/>
  <c r="L709" i="1" s="1"/>
  <c r="M709" i="1" s="1" a="1"/>
  <c r="M709" i="1" s="1"/>
  <c r="L710" i="1" a="1"/>
  <c r="L710" i="1" s="1"/>
  <c r="L711" i="1" a="1"/>
  <c r="L711" i="1" s="1"/>
  <c r="L712" i="1" a="1"/>
  <c r="L712" i="1" s="1"/>
  <c r="M712" i="1" s="1" a="1"/>
  <c r="M712" i="1" s="1"/>
  <c r="L713" i="1" a="1"/>
  <c r="L713" i="1" s="1"/>
  <c r="L714" i="1" a="1"/>
  <c r="L714" i="1" s="1"/>
  <c r="L715" i="1" a="1"/>
  <c r="L715" i="1" s="1"/>
  <c r="L716" i="1" a="1"/>
  <c r="L716" i="1" s="1"/>
  <c r="M716" i="1" s="1" a="1"/>
  <c r="M716" i="1" s="1"/>
  <c r="L717" i="1" a="1"/>
  <c r="L717" i="1" s="1"/>
  <c r="M717" i="1" s="1" a="1"/>
  <c r="M717" i="1" s="1"/>
  <c r="L718" i="1" a="1"/>
  <c r="L718" i="1" s="1"/>
  <c r="L719" i="1" a="1"/>
  <c r="L719" i="1" s="1"/>
  <c r="L720" i="1" a="1"/>
  <c r="L720" i="1" s="1"/>
  <c r="M720" i="1" s="1" a="1"/>
  <c r="M720" i="1" s="1"/>
  <c r="L721" i="1" a="1"/>
  <c r="L721" i="1" s="1"/>
  <c r="L722" i="1" a="1"/>
  <c r="L722" i="1" s="1"/>
  <c r="L723" i="1" a="1"/>
  <c r="L723" i="1" s="1"/>
  <c r="L724" i="1" a="1"/>
  <c r="L724" i="1" s="1"/>
  <c r="M724" i="1" s="1" a="1"/>
  <c r="M724" i="1" s="1"/>
  <c r="L725" i="1" a="1"/>
  <c r="L725" i="1" s="1"/>
  <c r="M725" i="1" s="1" a="1"/>
  <c r="M725" i="1" s="1"/>
  <c r="L726" i="1" a="1"/>
  <c r="L726" i="1" s="1"/>
  <c r="L727" i="1" a="1"/>
  <c r="L727" i="1" s="1"/>
  <c r="L728" i="1" a="1"/>
  <c r="L728" i="1" s="1"/>
  <c r="M728" i="1" s="1" a="1"/>
  <c r="M728" i="1" s="1"/>
  <c r="L729" i="1" a="1"/>
  <c r="L729" i="1" s="1"/>
  <c r="L730" i="1" a="1"/>
  <c r="L730" i="1" s="1"/>
  <c r="L731" i="1" a="1"/>
  <c r="L731" i="1" s="1"/>
  <c r="L732" i="1" a="1"/>
  <c r="L732" i="1" s="1"/>
  <c r="M732" i="1" s="1" a="1"/>
  <c r="M732" i="1" s="1"/>
  <c r="L733" i="1" a="1"/>
  <c r="L733" i="1" s="1"/>
  <c r="M733" i="1" s="1" a="1"/>
  <c r="M733" i="1" s="1"/>
  <c r="L734" i="1" a="1"/>
  <c r="L734" i="1" s="1"/>
  <c r="L735" i="1" a="1"/>
  <c r="L735" i="1" s="1"/>
  <c r="L736" i="1" a="1"/>
  <c r="L736" i="1" s="1"/>
  <c r="M736" i="1" s="1" a="1"/>
  <c r="M736" i="1" s="1"/>
  <c r="L737" i="1" a="1"/>
  <c r="L737" i="1" s="1"/>
  <c r="L738" i="1" a="1"/>
  <c r="L738" i="1" s="1"/>
  <c r="L739" i="1" a="1"/>
  <c r="L739" i="1" s="1"/>
  <c r="L740" i="1" a="1"/>
  <c r="L740" i="1" s="1"/>
  <c r="M740" i="1" s="1" a="1"/>
  <c r="M740" i="1" s="1"/>
  <c r="L741" i="1" a="1"/>
  <c r="L741" i="1" s="1"/>
  <c r="M741" i="1" s="1" a="1"/>
  <c r="M741" i="1" s="1"/>
  <c r="L742" i="1" a="1"/>
  <c r="L742" i="1" s="1"/>
  <c r="L743" i="1" a="1"/>
  <c r="L743" i="1" s="1"/>
  <c r="L744" i="1" a="1"/>
  <c r="L744" i="1" s="1"/>
  <c r="M744" i="1" s="1" a="1"/>
  <c r="M744" i="1" s="1"/>
  <c r="L745" i="1" a="1"/>
  <c r="L745" i="1" s="1"/>
  <c r="L746" i="1" a="1"/>
  <c r="L746" i="1" s="1"/>
  <c r="L747" i="1" a="1"/>
  <c r="L747" i="1" s="1"/>
  <c r="L748" i="1" a="1"/>
  <c r="L748" i="1" s="1"/>
  <c r="M748" i="1" s="1" a="1"/>
  <c r="M748" i="1" s="1"/>
  <c r="L749" i="1" a="1"/>
  <c r="L749" i="1" s="1"/>
  <c r="M749" i="1" s="1" a="1"/>
  <c r="M749" i="1" s="1"/>
  <c r="L750" i="1" a="1"/>
  <c r="L750" i="1" s="1"/>
  <c r="L751" i="1" a="1"/>
  <c r="L751" i="1" s="1"/>
  <c r="L752" i="1" a="1"/>
  <c r="L752" i="1" s="1"/>
  <c r="M752" i="1" s="1" a="1"/>
  <c r="M752" i="1" s="1"/>
  <c r="L753" i="1" a="1"/>
  <c r="L753" i="1" s="1"/>
  <c r="L754" i="1" a="1"/>
  <c r="L754" i="1" s="1"/>
  <c r="L755" i="1" a="1"/>
  <c r="L755" i="1" s="1"/>
  <c r="L756" i="1" a="1"/>
  <c r="L756" i="1" s="1"/>
  <c r="M756" i="1" s="1" a="1"/>
  <c r="M756" i="1" s="1"/>
  <c r="L757" i="1" a="1"/>
  <c r="L757" i="1" s="1"/>
  <c r="M757" i="1" s="1" a="1"/>
  <c r="M757" i="1" s="1"/>
  <c r="L758" i="1" a="1"/>
  <c r="L758" i="1" s="1"/>
  <c r="N758" i="1" s="1" a="1"/>
  <c r="N758" i="1" s="1"/>
  <c r="L759" i="1" a="1"/>
  <c r="L759" i="1" s="1"/>
  <c r="L760" i="1" a="1"/>
  <c r="L760" i="1" s="1"/>
  <c r="M760" i="1" s="1" a="1"/>
  <c r="M760" i="1" s="1"/>
  <c r="L761" i="1" a="1"/>
  <c r="L761" i="1" s="1"/>
  <c r="L762" i="1" a="1"/>
  <c r="L762" i="1" s="1"/>
  <c r="L763" i="1" a="1"/>
  <c r="L763" i="1" s="1"/>
  <c r="L764" i="1" a="1"/>
  <c r="L764" i="1" s="1"/>
  <c r="M764" i="1" s="1" a="1"/>
  <c r="M764" i="1" s="1"/>
  <c r="L765" i="1" a="1"/>
  <c r="L765" i="1" s="1"/>
  <c r="M765" i="1" s="1" a="1"/>
  <c r="M765" i="1" s="1"/>
  <c r="L766" i="1" a="1"/>
  <c r="L766" i="1" s="1"/>
  <c r="L767" i="1" a="1"/>
  <c r="L767" i="1" s="1"/>
  <c r="L768" i="1" a="1"/>
  <c r="L768" i="1" s="1"/>
  <c r="M768" i="1" s="1" a="1"/>
  <c r="M768" i="1" s="1"/>
  <c r="L769" i="1" a="1"/>
  <c r="L769" i="1" s="1"/>
  <c r="L770" i="1" a="1"/>
  <c r="L770" i="1" s="1"/>
  <c r="L771" i="1" a="1"/>
  <c r="L771" i="1" s="1"/>
  <c r="L772" i="1" a="1"/>
  <c r="L772" i="1" s="1"/>
  <c r="M772" i="1" s="1" a="1"/>
  <c r="M772" i="1" s="1"/>
  <c r="L773" i="1" a="1"/>
  <c r="L773" i="1" s="1"/>
  <c r="M773" i="1" s="1" a="1"/>
  <c r="M773" i="1" s="1"/>
  <c r="L774" i="1" a="1"/>
  <c r="L774" i="1" s="1"/>
  <c r="L775" i="1" a="1"/>
  <c r="L775" i="1" s="1"/>
  <c r="L776" i="1" a="1"/>
  <c r="L776" i="1" s="1"/>
  <c r="M776" i="1" s="1" a="1"/>
  <c r="M776" i="1" s="1"/>
  <c r="L777" i="1" a="1"/>
  <c r="L777" i="1" s="1"/>
  <c r="L778" i="1" a="1"/>
  <c r="L778" i="1" s="1"/>
  <c r="L779" i="1" a="1"/>
  <c r="L779" i="1" s="1"/>
  <c r="L780" i="1" a="1"/>
  <c r="L780" i="1" s="1"/>
  <c r="M780" i="1" s="1" a="1"/>
  <c r="M780" i="1" s="1"/>
  <c r="L781" i="1" a="1"/>
  <c r="L781" i="1" s="1"/>
  <c r="M781" i="1" s="1" a="1"/>
  <c r="M781" i="1" s="1"/>
  <c r="L782" i="1" a="1"/>
  <c r="L782" i="1" s="1"/>
  <c r="L783" i="1" a="1"/>
  <c r="L783" i="1" s="1"/>
  <c r="L784" i="1" a="1"/>
  <c r="L784" i="1" s="1"/>
  <c r="M784" i="1" s="1" a="1"/>
  <c r="M784" i="1" s="1"/>
  <c r="L785" i="1" a="1"/>
  <c r="L785" i="1" s="1"/>
  <c r="L786" i="1" a="1"/>
  <c r="L786" i="1" s="1"/>
  <c r="L787" i="1" a="1"/>
  <c r="L787" i="1" s="1"/>
  <c r="L788" i="1" a="1"/>
  <c r="L788" i="1" s="1"/>
  <c r="M788" i="1" s="1" a="1"/>
  <c r="M788" i="1" s="1"/>
  <c r="L789" i="1" a="1"/>
  <c r="L789" i="1" s="1"/>
  <c r="M789" i="1" s="1" a="1"/>
  <c r="M789" i="1" s="1"/>
  <c r="L790" i="1" a="1"/>
  <c r="L790" i="1" s="1"/>
  <c r="L791" i="1" a="1"/>
  <c r="L791" i="1" s="1"/>
  <c r="L792" i="1" a="1"/>
  <c r="L792" i="1" s="1"/>
  <c r="M792" i="1" s="1" a="1"/>
  <c r="M792" i="1" s="1"/>
  <c r="L793" i="1" a="1"/>
  <c r="L793" i="1" s="1"/>
  <c r="L794" i="1" a="1"/>
  <c r="L794" i="1" s="1"/>
  <c r="L795" i="1" a="1"/>
  <c r="L795" i="1" s="1"/>
  <c r="L796" i="1" a="1"/>
  <c r="L796" i="1" s="1"/>
  <c r="M796" i="1" s="1" a="1"/>
  <c r="M796" i="1" s="1"/>
  <c r="L797" i="1" a="1"/>
  <c r="L797" i="1" s="1"/>
  <c r="M797" i="1" s="1" a="1"/>
  <c r="M797" i="1" s="1"/>
  <c r="L798" i="1" a="1"/>
  <c r="L798" i="1" s="1"/>
  <c r="L799" i="1" a="1"/>
  <c r="L799" i="1" s="1"/>
  <c r="L800" i="1" a="1"/>
  <c r="L800" i="1" s="1"/>
  <c r="M800" i="1" s="1" a="1"/>
  <c r="M800" i="1" s="1"/>
  <c r="L801" i="1" a="1"/>
  <c r="L801" i="1" s="1"/>
  <c r="L2" i="1" a="1"/>
  <c r="L2" i="1" s="1"/>
  <c r="I2" i="1"/>
  <c r="J2" i="1" s="1" a="1"/>
  <c r="J2" i="1" s="1"/>
  <c r="I3" i="1"/>
  <c r="J3" i="1" s="1" a="1"/>
  <c r="J3" i="1" s="1"/>
  <c r="I4" i="1"/>
  <c r="J4" i="1" s="1" a="1"/>
  <c r="J4" i="1" s="1"/>
  <c r="I5" i="1"/>
  <c r="J5" i="1" s="1" a="1"/>
  <c r="J5" i="1" s="1"/>
  <c r="I6" i="1"/>
  <c r="J6" i="1" s="1" a="1"/>
  <c r="J6" i="1" s="1"/>
  <c r="I7" i="1"/>
  <c r="J7" i="1" s="1" a="1"/>
  <c r="J7" i="1" s="1"/>
  <c r="I8" i="1"/>
  <c r="J8" i="1" s="1" a="1"/>
  <c r="J8" i="1" s="1"/>
  <c r="I9" i="1"/>
  <c r="J9" i="1" s="1" a="1"/>
  <c r="J9" i="1" s="1"/>
  <c r="I10" i="1"/>
  <c r="J10" i="1" s="1" a="1"/>
  <c r="J10" i="1" s="1"/>
  <c r="I11" i="1"/>
  <c r="J11" i="1" s="1" a="1"/>
  <c r="J11" i="1" s="1"/>
  <c r="I12" i="1"/>
  <c r="J12" i="1" s="1" a="1"/>
  <c r="J12" i="1" s="1"/>
  <c r="I13" i="1"/>
  <c r="J13" i="1" s="1" a="1"/>
  <c r="J13" i="1" s="1"/>
  <c r="I14" i="1"/>
  <c r="J14" i="1" s="1" a="1"/>
  <c r="J14" i="1" s="1"/>
  <c r="I15" i="1"/>
  <c r="J15" i="1" s="1" a="1"/>
  <c r="J15" i="1" s="1"/>
  <c r="I16" i="1"/>
  <c r="J16" i="1" s="1" a="1"/>
  <c r="J16" i="1" s="1"/>
  <c r="I17" i="1"/>
  <c r="J17" i="1" s="1" a="1"/>
  <c r="J17" i="1" s="1"/>
  <c r="I18" i="1"/>
  <c r="J18" i="1" s="1" a="1"/>
  <c r="J18" i="1" s="1"/>
  <c r="I19" i="1"/>
  <c r="J19" i="1" s="1" a="1"/>
  <c r="J19" i="1" s="1"/>
  <c r="I20" i="1"/>
  <c r="J20" i="1" s="1" a="1"/>
  <c r="J20" i="1" s="1"/>
  <c r="I21" i="1"/>
  <c r="J21" i="1" s="1" a="1"/>
  <c r="J21" i="1" s="1"/>
  <c r="I22" i="1"/>
  <c r="J22" i="1" s="1" a="1"/>
  <c r="J22" i="1" s="1"/>
  <c r="I23" i="1"/>
  <c r="J23" i="1" s="1" a="1"/>
  <c r="J23" i="1" s="1"/>
  <c r="I24" i="1"/>
  <c r="J24" i="1" s="1" a="1"/>
  <c r="J24" i="1" s="1"/>
  <c r="I25" i="1"/>
  <c r="J25" i="1" s="1" a="1"/>
  <c r="J25" i="1" s="1"/>
  <c r="I26" i="1"/>
  <c r="J26" i="1" s="1" a="1"/>
  <c r="J26" i="1" s="1"/>
  <c r="I27" i="1"/>
  <c r="J27" i="1" s="1" a="1"/>
  <c r="J27" i="1" s="1"/>
  <c r="I28" i="1"/>
  <c r="J28" i="1" s="1" a="1"/>
  <c r="J28" i="1" s="1"/>
  <c r="I29" i="1"/>
  <c r="J29" i="1" s="1" a="1"/>
  <c r="J29" i="1" s="1"/>
  <c r="I30" i="1"/>
  <c r="J30" i="1" s="1" a="1"/>
  <c r="J30" i="1" s="1"/>
  <c r="I31" i="1"/>
  <c r="J31" i="1" s="1" a="1"/>
  <c r="J31" i="1" s="1"/>
  <c r="I32" i="1"/>
  <c r="J32" i="1" s="1" a="1"/>
  <c r="J32" i="1" s="1"/>
  <c r="I33" i="1"/>
  <c r="J33" i="1" s="1" a="1"/>
  <c r="J33" i="1" s="1"/>
  <c r="I34" i="1"/>
  <c r="J34" i="1" s="1" a="1"/>
  <c r="J34" i="1" s="1"/>
  <c r="I35" i="1"/>
  <c r="J35" i="1" s="1" a="1"/>
  <c r="J35" i="1" s="1"/>
  <c r="I36" i="1"/>
  <c r="J36" i="1" s="1" a="1"/>
  <c r="J36" i="1" s="1"/>
  <c r="I37" i="1"/>
  <c r="J37" i="1" s="1" a="1"/>
  <c r="J37" i="1" s="1"/>
  <c r="I38" i="1"/>
  <c r="J38" i="1" s="1" a="1"/>
  <c r="J38" i="1" s="1"/>
  <c r="I39" i="1"/>
  <c r="J39" i="1" s="1" a="1"/>
  <c r="J39" i="1" s="1"/>
  <c r="I40" i="1"/>
  <c r="J40" i="1" s="1" a="1"/>
  <c r="J40" i="1" s="1"/>
  <c r="I41" i="1"/>
  <c r="J41" i="1" s="1" a="1"/>
  <c r="J41" i="1" s="1"/>
  <c r="I42" i="1"/>
  <c r="J42" i="1" s="1" a="1"/>
  <c r="J42" i="1" s="1"/>
  <c r="I43" i="1"/>
  <c r="J43" i="1" s="1" a="1"/>
  <c r="J43" i="1" s="1"/>
  <c r="I44" i="1"/>
  <c r="J44" i="1" s="1" a="1"/>
  <c r="J44" i="1" s="1"/>
  <c r="I45" i="1"/>
  <c r="J45" i="1" s="1" a="1"/>
  <c r="J45" i="1" s="1"/>
  <c r="I46" i="1"/>
  <c r="J46" i="1" s="1" a="1"/>
  <c r="J46" i="1" s="1"/>
  <c r="I47" i="1"/>
  <c r="J47" i="1" s="1" a="1"/>
  <c r="J47" i="1" s="1"/>
  <c r="I48" i="1"/>
  <c r="J48" i="1" s="1" a="1"/>
  <c r="J48" i="1" s="1"/>
  <c r="I49" i="1"/>
  <c r="J49" i="1" s="1" a="1"/>
  <c r="J49" i="1" s="1"/>
  <c r="I50" i="1"/>
  <c r="J50" i="1" s="1" a="1"/>
  <c r="J50" i="1" s="1"/>
  <c r="I51" i="1"/>
  <c r="J51" i="1" s="1" a="1"/>
  <c r="J51" i="1" s="1"/>
  <c r="I52" i="1"/>
  <c r="J52" i="1" s="1" a="1"/>
  <c r="J52" i="1" s="1"/>
  <c r="I53" i="1"/>
  <c r="J53" i="1" s="1" a="1"/>
  <c r="J53" i="1" s="1"/>
  <c r="I54" i="1"/>
  <c r="J54" i="1" s="1" a="1"/>
  <c r="J54" i="1" s="1"/>
  <c r="I55" i="1"/>
  <c r="J55" i="1" s="1" a="1"/>
  <c r="J55" i="1" s="1"/>
  <c r="I56" i="1"/>
  <c r="J56" i="1" s="1" a="1"/>
  <c r="J56" i="1" s="1"/>
  <c r="I57" i="1"/>
  <c r="J57" i="1" s="1" a="1"/>
  <c r="J57" i="1" s="1"/>
  <c r="I58" i="1"/>
  <c r="J58" i="1" s="1" a="1"/>
  <c r="J58" i="1" s="1"/>
  <c r="I59" i="1"/>
  <c r="J59" i="1" s="1" a="1"/>
  <c r="J59" i="1" s="1"/>
  <c r="I60" i="1"/>
  <c r="J60" i="1" s="1" a="1"/>
  <c r="J60" i="1" s="1"/>
  <c r="I61" i="1"/>
  <c r="J61" i="1" s="1" a="1"/>
  <c r="J61" i="1" s="1"/>
  <c r="I62" i="1"/>
  <c r="J62" i="1" s="1" a="1"/>
  <c r="J62" i="1" s="1"/>
  <c r="I63" i="1"/>
  <c r="J63" i="1" s="1" a="1"/>
  <c r="J63" i="1" s="1"/>
  <c r="I64" i="1"/>
  <c r="J64" i="1" s="1" a="1"/>
  <c r="J64" i="1" s="1"/>
  <c r="I65" i="1"/>
  <c r="J65" i="1" s="1" a="1"/>
  <c r="J65" i="1" s="1"/>
  <c r="I66" i="1"/>
  <c r="J66" i="1" s="1" a="1"/>
  <c r="J66" i="1" s="1"/>
  <c r="I67" i="1"/>
  <c r="J67" i="1" s="1" a="1"/>
  <c r="J67" i="1" s="1"/>
  <c r="I68" i="1"/>
  <c r="J68" i="1" s="1" a="1"/>
  <c r="J68" i="1" s="1"/>
  <c r="I69" i="1"/>
  <c r="J69" i="1" s="1" a="1"/>
  <c r="J69" i="1" s="1"/>
  <c r="I70" i="1"/>
  <c r="J70" i="1" s="1" a="1"/>
  <c r="J70" i="1" s="1"/>
  <c r="I71" i="1"/>
  <c r="J71" i="1" s="1" a="1"/>
  <c r="J71" i="1" s="1"/>
  <c r="I72" i="1"/>
  <c r="J72" i="1" s="1" a="1"/>
  <c r="J72" i="1" s="1"/>
  <c r="I73" i="1"/>
  <c r="J73" i="1" s="1" a="1"/>
  <c r="J73" i="1" s="1"/>
  <c r="I74" i="1"/>
  <c r="J74" i="1" s="1" a="1"/>
  <c r="J74" i="1" s="1"/>
  <c r="I75" i="1"/>
  <c r="J75" i="1" s="1" a="1"/>
  <c r="J75" i="1" s="1"/>
  <c r="I76" i="1"/>
  <c r="J76" i="1" s="1" a="1"/>
  <c r="J76" i="1" s="1"/>
  <c r="I77" i="1"/>
  <c r="J77" i="1" s="1" a="1"/>
  <c r="J77" i="1" s="1"/>
  <c r="I78" i="1"/>
  <c r="J78" i="1" s="1" a="1"/>
  <c r="J78" i="1" s="1"/>
  <c r="I79" i="1"/>
  <c r="J79" i="1" s="1" a="1"/>
  <c r="J79" i="1" s="1"/>
  <c r="I80" i="1"/>
  <c r="J80" i="1" s="1" a="1"/>
  <c r="J80" i="1" s="1"/>
  <c r="I81" i="1"/>
  <c r="J81" i="1" s="1" a="1"/>
  <c r="J81" i="1" s="1"/>
  <c r="I82" i="1"/>
  <c r="J82" i="1" s="1" a="1"/>
  <c r="J82" i="1" s="1"/>
  <c r="I83" i="1"/>
  <c r="J83" i="1" s="1" a="1"/>
  <c r="J83" i="1" s="1"/>
  <c r="I84" i="1"/>
  <c r="J84" i="1" s="1" a="1"/>
  <c r="J84" i="1" s="1"/>
  <c r="I85" i="1"/>
  <c r="J85" i="1" s="1" a="1"/>
  <c r="J85" i="1" s="1"/>
  <c r="I86" i="1"/>
  <c r="J86" i="1" s="1" a="1"/>
  <c r="J86" i="1" s="1"/>
  <c r="I87" i="1"/>
  <c r="J87" i="1" s="1" a="1"/>
  <c r="J87" i="1" s="1"/>
  <c r="I88" i="1"/>
  <c r="J88" i="1" s="1" a="1"/>
  <c r="J88" i="1" s="1"/>
  <c r="I89" i="1"/>
  <c r="J89" i="1" s="1" a="1"/>
  <c r="J89" i="1" s="1"/>
  <c r="I90" i="1"/>
  <c r="J90" i="1" s="1" a="1"/>
  <c r="J90" i="1" s="1"/>
  <c r="I91" i="1"/>
  <c r="J91" i="1" s="1" a="1"/>
  <c r="J91" i="1" s="1"/>
  <c r="I92" i="1"/>
  <c r="J92" i="1" s="1" a="1"/>
  <c r="J92" i="1" s="1"/>
  <c r="I93" i="1"/>
  <c r="J93" i="1" s="1" a="1"/>
  <c r="J93" i="1" s="1"/>
  <c r="I94" i="1"/>
  <c r="J94" i="1" s="1" a="1"/>
  <c r="J94" i="1" s="1"/>
  <c r="I95" i="1"/>
  <c r="J95" i="1" s="1" a="1"/>
  <c r="J95" i="1" s="1"/>
  <c r="I96" i="1"/>
  <c r="J96" i="1" s="1" a="1"/>
  <c r="J96" i="1" s="1"/>
  <c r="I97" i="1"/>
  <c r="J97" i="1" s="1" a="1"/>
  <c r="J97" i="1" s="1"/>
  <c r="I98" i="1"/>
  <c r="J98" i="1" s="1" a="1"/>
  <c r="J98" i="1" s="1"/>
  <c r="I99" i="1"/>
  <c r="J99" i="1" s="1" a="1"/>
  <c r="J99" i="1" s="1"/>
  <c r="I100" i="1"/>
  <c r="J100" i="1" s="1" a="1"/>
  <c r="J100" i="1" s="1"/>
  <c r="I101" i="1"/>
  <c r="J101" i="1" s="1" a="1"/>
  <c r="J101" i="1" s="1"/>
  <c r="I102" i="1"/>
  <c r="J102" i="1" s="1" a="1"/>
  <c r="J102" i="1" s="1"/>
  <c r="I103" i="1"/>
  <c r="J103" i="1" s="1" a="1"/>
  <c r="J103" i="1" s="1"/>
  <c r="I104" i="1"/>
  <c r="J104" i="1" s="1" a="1"/>
  <c r="J104" i="1" s="1"/>
  <c r="I105" i="1"/>
  <c r="J105" i="1" s="1" a="1"/>
  <c r="J105" i="1" s="1"/>
  <c r="I106" i="1"/>
  <c r="J106" i="1" s="1" a="1"/>
  <c r="J106" i="1" s="1"/>
  <c r="I107" i="1"/>
  <c r="J107" i="1" s="1" a="1"/>
  <c r="J107" i="1" s="1"/>
  <c r="I108" i="1"/>
  <c r="J108" i="1" s="1" a="1"/>
  <c r="J108" i="1" s="1"/>
  <c r="I109" i="1"/>
  <c r="J109" i="1" s="1" a="1"/>
  <c r="J109" i="1" s="1"/>
  <c r="I110" i="1"/>
  <c r="J110" i="1" s="1" a="1"/>
  <c r="J110" i="1" s="1"/>
  <c r="I111" i="1"/>
  <c r="J111" i="1" s="1" a="1"/>
  <c r="J111" i="1" s="1"/>
  <c r="I112" i="1"/>
  <c r="J112" i="1" s="1" a="1"/>
  <c r="J112" i="1" s="1"/>
  <c r="I113" i="1"/>
  <c r="J113" i="1" s="1" a="1"/>
  <c r="J113" i="1" s="1"/>
  <c r="I114" i="1"/>
  <c r="J114" i="1" s="1" a="1"/>
  <c r="J114" i="1" s="1"/>
  <c r="I115" i="1"/>
  <c r="J115" i="1" s="1" a="1"/>
  <c r="J115" i="1" s="1"/>
  <c r="I116" i="1"/>
  <c r="J116" i="1" s="1" a="1"/>
  <c r="J116" i="1" s="1"/>
  <c r="I117" i="1"/>
  <c r="J117" i="1" s="1" a="1"/>
  <c r="J117" i="1" s="1"/>
  <c r="I118" i="1"/>
  <c r="J118" i="1" s="1" a="1"/>
  <c r="J118" i="1" s="1"/>
  <c r="I119" i="1"/>
  <c r="J119" i="1" s="1" a="1"/>
  <c r="J119" i="1" s="1"/>
  <c r="I120" i="1"/>
  <c r="J120" i="1" s="1" a="1"/>
  <c r="J120" i="1" s="1"/>
  <c r="I121" i="1"/>
  <c r="J121" i="1" s="1" a="1"/>
  <c r="J121" i="1" s="1"/>
  <c r="I122" i="1"/>
  <c r="J122" i="1" s="1" a="1"/>
  <c r="J122" i="1" s="1"/>
  <c r="I123" i="1"/>
  <c r="J123" i="1" s="1" a="1"/>
  <c r="J123" i="1" s="1"/>
  <c r="I124" i="1"/>
  <c r="J124" i="1" s="1" a="1"/>
  <c r="J124" i="1" s="1"/>
  <c r="I125" i="1"/>
  <c r="J125" i="1" s="1" a="1"/>
  <c r="J125" i="1" s="1"/>
  <c r="I126" i="1"/>
  <c r="J126" i="1" s="1" a="1"/>
  <c r="J126" i="1" s="1"/>
  <c r="I127" i="1"/>
  <c r="J127" i="1" s="1" a="1"/>
  <c r="J127" i="1" s="1"/>
  <c r="I128" i="1"/>
  <c r="J128" i="1" s="1" a="1"/>
  <c r="J128" i="1" s="1"/>
  <c r="I129" i="1"/>
  <c r="J129" i="1" s="1" a="1"/>
  <c r="J129" i="1" s="1"/>
  <c r="I130" i="1"/>
  <c r="J130" i="1" s="1" a="1"/>
  <c r="J130" i="1" s="1"/>
  <c r="I131" i="1"/>
  <c r="J131" i="1" s="1" a="1"/>
  <c r="J131" i="1" s="1"/>
  <c r="I132" i="1"/>
  <c r="J132" i="1" s="1" a="1"/>
  <c r="J132" i="1" s="1"/>
  <c r="I133" i="1"/>
  <c r="J133" i="1" s="1" a="1"/>
  <c r="J133" i="1" s="1"/>
  <c r="I134" i="1"/>
  <c r="J134" i="1" s="1" a="1"/>
  <c r="J134" i="1" s="1"/>
  <c r="I135" i="1"/>
  <c r="J135" i="1" s="1" a="1"/>
  <c r="J135" i="1" s="1"/>
  <c r="I136" i="1"/>
  <c r="J136" i="1" s="1" a="1"/>
  <c r="J136" i="1" s="1"/>
  <c r="I137" i="1"/>
  <c r="J137" i="1" s="1" a="1"/>
  <c r="J137" i="1" s="1"/>
  <c r="I138" i="1"/>
  <c r="J138" i="1" s="1" a="1"/>
  <c r="J138" i="1" s="1"/>
  <c r="I139" i="1"/>
  <c r="J139" i="1" s="1" a="1"/>
  <c r="J139" i="1" s="1"/>
  <c r="I140" i="1"/>
  <c r="J140" i="1" s="1" a="1"/>
  <c r="J140" i="1" s="1"/>
  <c r="I141" i="1"/>
  <c r="J141" i="1" s="1" a="1"/>
  <c r="J141" i="1" s="1"/>
  <c r="I142" i="1"/>
  <c r="J142" i="1" s="1" a="1"/>
  <c r="J142" i="1" s="1"/>
  <c r="I143" i="1"/>
  <c r="J143" i="1" s="1" a="1"/>
  <c r="J143" i="1" s="1"/>
  <c r="I144" i="1"/>
  <c r="J144" i="1" s="1" a="1"/>
  <c r="J144" i="1" s="1"/>
  <c r="I145" i="1"/>
  <c r="J145" i="1" s="1" a="1"/>
  <c r="J145" i="1" s="1"/>
  <c r="I146" i="1"/>
  <c r="J146" i="1" s="1" a="1"/>
  <c r="J146" i="1" s="1"/>
  <c r="I147" i="1"/>
  <c r="J147" i="1" s="1" a="1"/>
  <c r="J147" i="1" s="1"/>
  <c r="I148" i="1"/>
  <c r="J148" i="1" s="1" a="1"/>
  <c r="J148" i="1" s="1"/>
  <c r="I149" i="1"/>
  <c r="J149" i="1" s="1" a="1"/>
  <c r="J149" i="1" s="1"/>
  <c r="I150" i="1"/>
  <c r="J150" i="1" s="1" a="1"/>
  <c r="J150" i="1" s="1"/>
  <c r="I151" i="1"/>
  <c r="J151" i="1" s="1" a="1"/>
  <c r="J151" i="1" s="1"/>
  <c r="I152" i="1"/>
  <c r="J152" i="1" s="1" a="1"/>
  <c r="J152" i="1" s="1"/>
  <c r="I153" i="1"/>
  <c r="J153" i="1" s="1" a="1"/>
  <c r="J153" i="1" s="1"/>
  <c r="I154" i="1"/>
  <c r="J154" i="1" s="1" a="1"/>
  <c r="J154" i="1" s="1"/>
  <c r="I155" i="1"/>
  <c r="J155" i="1" s="1" a="1"/>
  <c r="J155" i="1" s="1"/>
  <c r="I156" i="1"/>
  <c r="J156" i="1" s="1" a="1"/>
  <c r="J156" i="1" s="1"/>
  <c r="I157" i="1"/>
  <c r="J157" i="1" s="1" a="1"/>
  <c r="J157" i="1" s="1"/>
  <c r="I158" i="1"/>
  <c r="J158" i="1" s="1" a="1"/>
  <c r="J158" i="1" s="1"/>
  <c r="I159" i="1"/>
  <c r="J159" i="1" s="1" a="1"/>
  <c r="J159" i="1" s="1"/>
  <c r="I160" i="1"/>
  <c r="J160" i="1" s="1" a="1"/>
  <c r="J160" i="1" s="1"/>
  <c r="I161" i="1"/>
  <c r="J161" i="1" s="1" a="1"/>
  <c r="J161" i="1" s="1"/>
  <c r="I162" i="1"/>
  <c r="J162" i="1" s="1" a="1"/>
  <c r="J162" i="1" s="1"/>
  <c r="I163" i="1"/>
  <c r="J163" i="1" s="1" a="1"/>
  <c r="J163" i="1" s="1"/>
  <c r="I164" i="1"/>
  <c r="J164" i="1" s="1" a="1"/>
  <c r="J164" i="1" s="1"/>
  <c r="I165" i="1"/>
  <c r="J165" i="1" s="1" a="1"/>
  <c r="J165" i="1" s="1"/>
  <c r="I166" i="1"/>
  <c r="J166" i="1" s="1" a="1"/>
  <c r="J166" i="1" s="1"/>
  <c r="I167" i="1"/>
  <c r="J167" i="1" s="1" a="1"/>
  <c r="J167" i="1" s="1"/>
  <c r="I168" i="1"/>
  <c r="J168" i="1" s="1" a="1"/>
  <c r="J168" i="1" s="1"/>
  <c r="I169" i="1"/>
  <c r="J169" i="1" s="1" a="1"/>
  <c r="J169" i="1" s="1"/>
  <c r="I170" i="1"/>
  <c r="J170" i="1" s="1" a="1"/>
  <c r="J170" i="1" s="1"/>
  <c r="I171" i="1"/>
  <c r="J171" i="1" s="1" a="1"/>
  <c r="J171" i="1" s="1"/>
  <c r="I172" i="1"/>
  <c r="J172" i="1" s="1" a="1"/>
  <c r="J172" i="1" s="1"/>
  <c r="I173" i="1"/>
  <c r="J173" i="1" s="1" a="1"/>
  <c r="J173" i="1" s="1"/>
  <c r="I174" i="1"/>
  <c r="J174" i="1" s="1" a="1"/>
  <c r="J174" i="1" s="1"/>
  <c r="I175" i="1"/>
  <c r="J175" i="1" s="1" a="1"/>
  <c r="J175" i="1" s="1"/>
  <c r="I176" i="1"/>
  <c r="J176" i="1" s="1" a="1"/>
  <c r="J176" i="1" s="1"/>
  <c r="I177" i="1"/>
  <c r="J177" i="1" s="1" a="1"/>
  <c r="J177" i="1" s="1"/>
  <c r="I178" i="1"/>
  <c r="J178" i="1" s="1" a="1"/>
  <c r="J178" i="1" s="1"/>
  <c r="I179" i="1"/>
  <c r="J179" i="1" s="1" a="1"/>
  <c r="J179" i="1" s="1"/>
  <c r="I180" i="1"/>
  <c r="J180" i="1" s="1" a="1"/>
  <c r="J180" i="1" s="1"/>
  <c r="I181" i="1"/>
  <c r="J181" i="1" s="1" a="1"/>
  <c r="J181" i="1" s="1"/>
  <c r="I182" i="1"/>
  <c r="J182" i="1" s="1" a="1"/>
  <c r="J182" i="1" s="1"/>
  <c r="I183" i="1"/>
  <c r="J183" i="1" s="1" a="1"/>
  <c r="J183" i="1" s="1"/>
  <c r="I184" i="1"/>
  <c r="J184" i="1" s="1" a="1"/>
  <c r="J184" i="1" s="1"/>
  <c r="I185" i="1"/>
  <c r="J185" i="1" s="1" a="1"/>
  <c r="J185" i="1" s="1"/>
  <c r="I186" i="1"/>
  <c r="J186" i="1" s="1" a="1"/>
  <c r="J186" i="1" s="1"/>
  <c r="I187" i="1"/>
  <c r="J187" i="1" s="1" a="1"/>
  <c r="J187" i="1" s="1"/>
  <c r="I188" i="1"/>
  <c r="J188" i="1" s="1" a="1"/>
  <c r="J188" i="1" s="1"/>
  <c r="I189" i="1"/>
  <c r="J189" i="1" s="1" a="1"/>
  <c r="J189" i="1" s="1"/>
  <c r="I190" i="1"/>
  <c r="J190" i="1" s="1" a="1"/>
  <c r="J190" i="1" s="1"/>
  <c r="I191" i="1"/>
  <c r="J191" i="1" s="1" a="1"/>
  <c r="J191" i="1" s="1"/>
  <c r="I192" i="1"/>
  <c r="J192" i="1" s="1" a="1"/>
  <c r="J192" i="1" s="1"/>
  <c r="I193" i="1"/>
  <c r="J193" i="1" s="1" a="1"/>
  <c r="J193" i="1" s="1"/>
  <c r="I194" i="1"/>
  <c r="J194" i="1" s="1" a="1"/>
  <c r="J194" i="1" s="1"/>
  <c r="I195" i="1"/>
  <c r="J195" i="1" s="1" a="1"/>
  <c r="J195" i="1" s="1"/>
  <c r="I196" i="1"/>
  <c r="J196" i="1" s="1" a="1"/>
  <c r="J196" i="1" s="1"/>
  <c r="I197" i="1"/>
  <c r="J197" i="1" s="1" a="1"/>
  <c r="J197" i="1" s="1"/>
  <c r="I198" i="1"/>
  <c r="J198" i="1" s="1" a="1"/>
  <c r="J198" i="1" s="1"/>
  <c r="I199" i="1"/>
  <c r="J199" i="1" s="1" a="1"/>
  <c r="J199" i="1" s="1"/>
  <c r="I200" i="1"/>
  <c r="J200" i="1" s="1" a="1"/>
  <c r="J200" i="1" s="1"/>
  <c r="I201" i="1"/>
  <c r="J201" i="1" s="1" a="1"/>
  <c r="J201" i="1" s="1"/>
  <c r="I202" i="1"/>
  <c r="J202" i="1" s="1" a="1"/>
  <c r="J202" i="1" s="1"/>
  <c r="I203" i="1"/>
  <c r="J203" i="1" s="1" a="1"/>
  <c r="J203" i="1" s="1"/>
  <c r="I204" i="1"/>
  <c r="J204" i="1" s="1" a="1"/>
  <c r="J204" i="1" s="1"/>
  <c r="I205" i="1"/>
  <c r="J205" i="1" s="1" a="1"/>
  <c r="J205" i="1" s="1"/>
  <c r="I206" i="1"/>
  <c r="J206" i="1" s="1" a="1"/>
  <c r="J206" i="1" s="1"/>
  <c r="I207" i="1"/>
  <c r="J207" i="1" s="1" a="1"/>
  <c r="J207" i="1" s="1"/>
  <c r="I208" i="1"/>
  <c r="J208" i="1" s="1" a="1"/>
  <c r="J208" i="1" s="1"/>
  <c r="I209" i="1"/>
  <c r="J209" i="1" s="1" a="1"/>
  <c r="J209" i="1" s="1"/>
  <c r="I210" i="1"/>
  <c r="J210" i="1" s="1" a="1"/>
  <c r="J210" i="1" s="1"/>
  <c r="I211" i="1"/>
  <c r="J211" i="1" s="1" a="1"/>
  <c r="J211" i="1" s="1"/>
  <c r="I212" i="1"/>
  <c r="J212" i="1" s="1" a="1"/>
  <c r="J212" i="1" s="1"/>
  <c r="I213" i="1"/>
  <c r="J213" i="1" s="1" a="1"/>
  <c r="J213" i="1" s="1"/>
  <c r="I214" i="1"/>
  <c r="J214" i="1" s="1" a="1"/>
  <c r="J214" i="1" s="1"/>
  <c r="I215" i="1"/>
  <c r="J215" i="1" s="1" a="1"/>
  <c r="J215" i="1" s="1"/>
  <c r="I216" i="1"/>
  <c r="J216" i="1" s="1" a="1"/>
  <c r="J216" i="1" s="1"/>
  <c r="I217" i="1"/>
  <c r="J217" i="1" s="1" a="1"/>
  <c r="J217" i="1" s="1"/>
  <c r="I218" i="1"/>
  <c r="J218" i="1" s="1" a="1"/>
  <c r="J218" i="1" s="1"/>
  <c r="I219" i="1"/>
  <c r="J219" i="1" s="1" a="1"/>
  <c r="J219" i="1" s="1"/>
  <c r="I220" i="1"/>
  <c r="J220" i="1" s="1" a="1"/>
  <c r="J220" i="1" s="1"/>
  <c r="I221" i="1"/>
  <c r="J221" i="1" s="1" a="1"/>
  <c r="J221" i="1" s="1"/>
  <c r="I222" i="1"/>
  <c r="J222" i="1" s="1" a="1"/>
  <c r="J222" i="1" s="1"/>
  <c r="I223" i="1"/>
  <c r="J223" i="1" s="1" a="1"/>
  <c r="J223" i="1" s="1"/>
  <c r="I224" i="1"/>
  <c r="J224" i="1" s="1" a="1"/>
  <c r="J224" i="1" s="1"/>
  <c r="I225" i="1"/>
  <c r="J225" i="1" s="1" a="1"/>
  <c r="J225" i="1" s="1"/>
  <c r="I226" i="1"/>
  <c r="J226" i="1" s="1" a="1"/>
  <c r="J226" i="1" s="1"/>
  <c r="I227" i="1"/>
  <c r="J227" i="1" s="1" a="1"/>
  <c r="J227" i="1" s="1"/>
  <c r="I228" i="1"/>
  <c r="J228" i="1" s="1" a="1"/>
  <c r="J228" i="1" s="1"/>
  <c r="I229" i="1"/>
  <c r="J229" i="1" s="1" a="1"/>
  <c r="J229" i="1" s="1"/>
  <c r="I230" i="1"/>
  <c r="J230" i="1" s="1" a="1"/>
  <c r="J230" i="1" s="1"/>
  <c r="I231" i="1"/>
  <c r="J231" i="1" s="1" a="1"/>
  <c r="J231" i="1" s="1"/>
  <c r="I232" i="1"/>
  <c r="J232" i="1" s="1" a="1"/>
  <c r="J232" i="1" s="1"/>
  <c r="I233" i="1"/>
  <c r="J233" i="1" s="1" a="1"/>
  <c r="J233" i="1" s="1"/>
  <c r="I234" i="1"/>
  <c r="J234" i="1" s="1" a="1"/>
  <c r="J234" i="1" s="1"/>
  <c r="I235" i="1"/>
  <c r="J235" i="1" s="1" a="1"/>
  <c r="J235" i="1" s="1"/>
  <c r="I236" i="1"/>
  <c r="J236" i="1" s="1" a="1"/>
  <c r="J236" i="1" s="1"/>
  <c r="I237" i="1"/>
  <c r="J237" i="1" s="1" a="1"/>
  <c r="J237" i="1" s="1"/>
  <c r="I238" i="1"/>
  <c r="J238" i="1" s="1" a="1"/>
  <c r="J238" i="1" s="1"/>
  <c r="I239" i="1"/>
  <c r="J239" i="1" s="1" a="1"/>
  <c r="J239" i="1" s="1"/>
  <c r="I240" i="1"/>
  <c r="J240" i="1" s="1" a="1"/>
  <c r="J240" i="1" s="1"/>
  <c r="I241" i="1"/>
  <c r="J241" i="1" s="1" a="1"/>
  <c r="J241" i="1" s="1"/>
  <c r="I242" i="1"/>
  <c r="J242" i="1" s="1" a="1"/>
  <c r="J242" i="1" s="1"/>
  <c r="I243" i="1"/>
  <c r="J243" i="1" s="1" a="1"/>
  <c r="J243" i="1" s="1"/>
  <c r="I244" i="1"/>
  <c r="J244" i="1" s="1" a="1"/>
  <c r="J244" i="1" s="1"/>
  <c r="I245" i="1"/>
  <c r="J245" i="1" s="1" a="1"/>
  <c r="J245" i="1" s="1"/>
  <c r="I246" i="1"/>
  <c r="J246" i="1" s="1" a="1"/>
  <c r="J246" i="1" s="1"/>
  <c r="I247" i="1"/>
  <c r="J247" i="1" s="1" a="1"/>
  <c r="J247" i="1" s="1"/>
  <c r="I248" i="1"/>
  <c r="J248" i="1" s="1" a="1"/>
  <c r="J248" i="1" s="1"/>
  <c r="I249" i="1"/>
  <c r="J249" i="1" s="1" a="1"/>
  <c r="J249" i="1" s="1"/>
  <c r="I250" i="1"/>
  <c r="J250" i="1" s="1" a="1"/>
  <c r="J250" i="1" s="1"/>
  <c r="I251" i="1"/>
  <c r="J251" i="1" s="1" a="1"/>
  <c r="J251" i="1" s="1"/>
  <c r="I252" i="1"/>
  <c r="J252" i="1" s="1" a="1"/>
  <c r="J252" i="1" s="1"/>
  <c r="I253" i="1"/>
  <c r="J253" i="1" s="1" a="1"/>
  <c r="J253" i="1" s="1"/>
  <c r="I254" i="1"/>
  <c r="J254" i="1" s="1" a="1"/>
  <c r="J254" i="1" s="1"/>
  <c r="I255" i="1"/>
  <c r="J255" i="1" s="1" a="1"/>
  <c r="J255" i="1" s="1"/>
  <c r="I256" i="1"/>
  <c r="J256" i="1" s="1" a="1"/>
  <c r="J256" i="1" s="1"/>
  <c r="I257" i="1"/>
  <c r="J257" i="1" s="1" a="1"/>
  <c r="J257" i="1" s="1"/>
  <c r="I258" i="1"/>
  <c r="J258" i="1" s="1" a="1"/>
  <c r="J258" i="1" s="1"/>
  <c r="I259" i="1"/>
  <c r="J259" i="1" s="1" a="1"/>
  <c r="J259" i="1" s="1"/>
  <c r="I260" i="1"/>
  <c r="J260" i="1" s="1" a="1"/>
  <c r="J260" i="1" s="1"/>
  <c r="I261" i="1"/>
  <c r="J261" i="1" s="1" a="1"/>
  <c r="J261" i="1" s="1"/>
  <c r="I262" i="1"/>
  <c r="J262" i="1" s="1" a="1"/>
  <c r="J262" i="1" s="1"/>
  <c r="I263" i="1"/>
  <c r="J263" i="1" s="1" a="1"/>
  <c r="J263" i="1" s="1"/>
  <c r="I264" i="1"/>
  <c r="J264" i="1" s="1" a="1"/>
  <c r="J264" i="1" s="1"/>
  <c r="I265" i="1"/>
  <c r="J265" i="1" s="1" a="1"/>
  <c r="J265" i="1" s="1"/>
  <c r="I266" i="1"/>
  <c r="J266" i="1" s="1" a="1"/>
  <c r="J266" i="1" s="1"/>
  <c r="I267" i="1"/>
  <c r="J267" i="1" s="1" a="1"/>
  <c r="J267" i="1" s="1"/>
  <c r="I268" i="1"/>
  <c r="J268" i="1" s="1" a="1"/>
  <c r="J268" i="1" s="1"/>
  <c r="I269" i="1"/>
  <c r="J269" i="1" s="1" a="1"/>
  <c r="J269" i="1" s="1"/>
  <c r="I270" i="1"/>
  <c r="J270" i="1" s="1" a="1"/>
  <c r="J270" i="1" s="1"/>
  <c r="I271" i="1"/>
  <c r="J271" i="1" s="1" a="1"/>
  <c r="J271" i="1" s="1"/>
  <c r="I272" i="1"/>
  <c r="J272" i="1" s="1" a="1"/>
  <c r="J272" i="1" s="1"/>
  <c r="I273" i="1"/>
  <c r="J273" i="1" s="1" a="1"/>
  <c r="J273" i="1" s="1"/>
  <c r="I274" i="1"/>
  <c r="J274" i="1" s="1" a="1"/>
  <c r="J274" i="1" s="1"/>
  <c r="I275" i="1"/>
  <c r="J275" i="1" s="1" a="1"/>
  <c r="J275" i="1" s="1"/>
  <c r="I276" i="1"/>
  <c r="J276" i="1" s="1" a="1"/>
  <c r="J276" i="1" s="1"/>
  <c r="I277" i="1"/>
  <c r="J277" i="1" s="1" a="1"/>
  <c r="J277" i="1" s="1"/>
  <c r="I278" i="1"/>
  <c r="J278" i="1" s="1" a="1"/>
  <c r="J278" i="1" s="1"/>
  <c r="I279" i="1"/>
  <c r="J279" i="1" s="1" a="1"/>
  <c r="J279" i="1" s="1"/>
  <c r="I280" i="1"/>
  <c r="J280" i="1" s="1" a="1"/>
  <c r="J280" i="1" s="1"/>
  <c r="I281" i="1"/>
  <c r="J281" i="1" s="1" a="1"/>
  <c r="J281" i="1" s="1"/>
  <c r="I282" i="1"/>
  <c r="J282" i="1" s="1" a="1"/>
  <c r="J282" i="1" s="1"/>
  <c r="I283" i="1"/>
  <c r="J283" i="1" s="1" a="1"/>
  <c r="J283" i="1" s="1"/>
  <c r="I284" i="1"/>
  <c r="J284" i="1" s="1" a="1"/>
  <c r="J284" i="1" s="1"/>
  <c r="I285" i="1"/>
  <c r="J285" i="1" s="1" a="1"/>
  <c r="J285" i="1" s="1"/>
  <c r="I286" i="1"/>
  <c r="J286" i="1" s="1" a="1"/>
  <c r="J286" i="1" s="1"/>
  <c r="I287" i="1"/>
  <c r="J287" i="1" s="1" a="1"/>
  <c r="J287" i="1" s="1"/>
  <c r="I288" i="1"/>
  <c r="J288" i="1" s="1" a="1"/>
  <c r="J288" i="1" s="1"/>
  <c r="I289" i="1"/>
  <c r="J289" i="1" s="1" a="1"/>
  <c r="J289" i="1" s="1"/>
  <c r="I290" i="1"/>
  <c r="J290" i="1" s="1" a="1"/>
  <c r="J290" i="1" s="1"/>
  <c r="I291" i="1"/>
  <c r="J291" i="1" s="1" a="1"/>
  <c r="J291" i="1" s="1"/>
  <c r="I292" i="1"/>
  <c r="J292" i="1" s="1" a="1"/>
  <c r="J292" i="1" s="1"/>
  <c r="I293" i="1"/>
  <c r="J293" i="1" s="1" a="1"/>
  <c r="J293" i="1" s="1"/>
  <c r="I294" i="1"/>
  <c r="J294" i="1" s="1" a="1"/>
  <c r="J294" i="1" s="1"/>
  <c r="I295" i="1"/>
  <c r="J295" i="1" s="1" a="1"/>
  <c r="J295" i="1" s="1"/>
  <c r="I296" i="1"/>
  <c r="J296" i="1" s="1" a="1"/>
  <c r="J296" i="1" s="1"/>
  <c r="I297" i="1"/>
  <c r="J297" i="1" s="1" a="1"/>
  <c r="J297" i="1" s="1"/>
  <c r="I298" i="1"/>
  <c r="J298" i="1" s="1" a="1"/>
  <c r="J298" i="1" s="1"/>
  <c r="I299" i="1"/>
  <c r="J299" i="1" s="1" a="1"/>
  <c r="J299" i="1" s="1"/>
  <c r="I300" i="1"/>
  <c r="J300" i="1" s="1" a="1"/>
  <c r="J300" i="1" s="1"/>
  <c r="I301" i="1"/>
  <c r="J301" i="1" s="1" a="1"/>
  <c r="J301" i="1" s="1"/>
  <c r="I302" i="1"/>
  <c r="J302" i="1" s="1" a="1"/>
  <c r="J302" i="1" s="1"/>
  <c r="I303" i="1"/>
  <c r="J303" i="1" s="1" a="1"/>
  <c r="J303" i="1" s="1"/>
  <c r="I304" i="1"/>
  <c r="J304" i="1" s="1" a="1"/>
  <c r="J304" i="1" s="1"/>
  <c r="I305" i="1"/>
  <c r="J305" i="1" s="1" a="1"/>
  <c r="J305" i="1" s="1"/>
  <c r="I306" i="1"/>
  <c r="J306" i="1" s="1" a="1"/>
  <c r="J306" i="1" s="1"/>
  <c r="I307" i="1"/>
  <c r="J307" i="1" s="1" a="1"/>
  <c r="J307" i="1" s="1"/>
  <c r="I308" i="1"/>
  <c r="J308" i="1" s="1" a="1"/>
  <c r="J308" i="1" s="1"/>
  <c r="I309" i="1"/>
  <c r="J309" i="1" s="1" a="1"/>
  <c r="J309" i="1" s="1"/>
  <c r="I310" i="1"/>
  <c r="J310" i="1" s="1" a="1"/>
  <c r="J310" i="1" s="1"/>
  <c r="I311" i="1"/>
  <c r="J311" i="1" s="1" a="1"/>
  <c r="J311" i="1" s="1"/>
  <c r="I312" i="1"/>
  <c r="J312" i="1" s="1" a="1"/>
  <c r="J312" i="1" s="1"/>
  <c r="I313" i="1"/>
  <c r="J313" i="1" s="1" a="1"/>
  <c r="J313" i="1" s="1"/>
  <c r="I314" i="1"/>
  <c r="J314" i="1" s="1" a="1"/>
  <c r="J314" i="1" s="1"/>
  <c r="I315" i="1"/>
  <c r="J315" i="1" s="1" a="1"/>
  <c r="J315" i="1" s="1"/>
  <c r="I316" i="1"/>
  <c r="J316" i="1" s="1" a="1"/>
  <c r="J316" i="1" s="1"/>
  <c r="I317" i="1"/>
  <c r="J317" i="1" s="1" a="1"/>
  <c r="J317" i="1" s="1"/>
  <c r="I318" i="1"/>
  <c r="J318" i="1" s="1" a="1"/>
  <c r="J318" i="1" s="1"/>
  <c r="I319" i="1"/>
  <c r="J319" i="1" s="1" a="1"/>
  <c r="J319" i="1" s="1"/>
  <c r="I320" i="1"/>
  <c r="J320" i="1" s="1" a="1"/>
  <c r="J320" i="1" s="1"/>
  <c r="I321" i="1"/>
  <c r="J321" i="1" s="1" a="1"/>
  <c r="J321" i="1" s="1"/>
  <c r="I322" i="1"/>
  <c r="J322" i="1" s="1" a="1"/>
  <c r="J322" i="1" s="1"/>
  <c r="I323" i="1"/>
  <c r="J323" i="1" s="1" a="1"/>
  <c r="J323" i="1" s="1"/>
  <c r="I324" i="1"/>
  <c r="J324" i="1" s="1" a="1"/>
  <c r="J324" i="1" s="1"/>
  <c r="I325" i="1"/>
  <c r="J325" i="1" s="1" a="1"/>
  <c r="J325" i="1" s="1"/>
  <c r="I326" i="1"/>
  <c r="J326" i="1" s="1" a="1"/>
  <c r="J326" i="1" s="1"/>
  <c r="I327" i="1"/>
  <c r="J327" i="1" s="1" a="1"/>
  <c r="J327" i="1" s="1"/>
  <c r="I328" i="1"/>
  <c r="J328" i="1" s="1" a="1"/>
  <c r="J328" i="1" s="1"/>
  <c r="I329" i="1"/>
  <c r="J329" i="1" s="1" a="1"/>
  <c r="J329" i="1" s="1"/>
  <c r="I330" i="1"/>
  <c r="J330" i="1" s="1" a="1"/>
  <c r="J330" i="1" s="1"/>
  <c r="I331" i="1"/>
  <c r="J331" i="1" s="1" a="1"/>
  <c r="J331" i="1" s="1"/>
  <c r="I332" i="1"/>
  <c r="J332" i="1" s="1" a="1"/>
  <c r="J332" i="1" s="1"/>
  <c r="I333" i="1"/>
  <c r="J333" i="1" s="1" a="1"/>
  <c r="J333" i="1" s="1"/>
  <c r="I334" i="1"/>
  <c r="J334" i="1" s="1" a="1"/>
  <c r="J334" i="1" s="1"/>
  <c r="I335" i="1"/>
  <c r="J335" i="1" s="1" a="1"/>
  <c r="J335" i="1" s="1"/>
  <c r="I336" i="1"/>
  <c r="J336" i="1" s="1" a="1"/>
  <c r="J336" i="1" s="1"/>
  <c r="I337" i="1"/>
  <c r="J337" i="1" s="1" a="1"/>
  <c r="J337" i="1" s="1"/>
  <c r="I338" i="1"/>
  <c r="J338" i="1" s="1" a="1"/>
  <c r="J338" i="1" s="1"/>
  <c r="I339" i="1"/>
  <c r="J339" i="1" s="1" a="1"/>
  <c r="J339" i="1" s="1"/>
  <c r="I340" i="1"/>
  <c r="J340" i="1" s="1" a="1"/>
  <c r="J340" i="1" s="1"/>
  <c r="I341" i="1"/>
  <c r="J341" i="1" s="1" a="1"/>
  <c r="J341" i="1" s="1"/>
  <c r="I342" i="1"/>
  <c r="J342" i="1" s="1" a="1"/>
  <c r="J342" i="1" s="1"/>
  <c r="I343" i="1"/>
  <c r="J343" i="1" s="1" a="1"/>
  <c r="J343" i="1" s="1"/>
  <c r="I344" i="1"/>
  <c r="J344" i="1" s="1" a="1"/>
  <c r="J344" i="1" s="1"/>
  <c r="I345" i="1"/>
  <c r="J345" i="1" s="1" a="1"/>
  <c r="J345" i="1" s="1"/>
  <c r="I346" i="1"/>
  <c r="J346" i="1" s="1" a="1"/>
  <c r="J346" i="1" s="1"/>
  <c r="I347" i="1"/>
  <c r="J347" i="1" s="1" a="1"/>
  <c r="J347" i="1" s="1"/>
  <c r="I348" i="1"/>
  <c r="J348" i="1" s="1" a="1"/>
  <c r="J348" i="1" s="1"/>
  <c r="I349" i="1"/>
  <c r="J349" i="1" s="1" a="1"/>
  <c r="J349" i="1" s="1"/>
  <c r="I350" i="1"/>
  <c r="J350" i="1" s="1" a="1"/>
  <c r="J350" i="1" s="1"/>
  <c r="I351" i="1"/>
  <c r="J351" i="1" s="1" a="1"/>
  <c r="J351" i="1" s="1"/>
  <c r="I352" i="1"/>
  <c r="J352" i="1" s="1" a="1"/>
  <c r="J352" i="1" s="1"/>
  <c r="I353" i="1"/>
  <c r="J353" i="1" s="1" a="1"/>
  <c r="J353" i="1" s="1"/>
  <c r="I354" i="1"/>
  <c r="J354" i="1" s="1" a="1"/>
  <c r="J354" i="1" s="1"/>
  <c r="I355" i="1"/>
  <c r="J355" i="1" s="1" a="1"/>
  <c r="J355" i="1" s="1"/>
  <c r="I356" i="1"/>
  <c r="J356" i="1" s="1" a="1"/>
  <c r="J356" i="1" s="1"/>
  <c r="I357" i="1"/>
  <c r="J357" i="1" s="1" a="1"/>
  <c r="J357" i="1" s="1"/>
  <c r="I358" i="1"/>
  <c r="J358" i="1" s="1" a="1"/>
  <c r="J358" i="1" s="1"/>
  <c r="I359" i="1"/>
  <c r="J359" i="1" s="1" a="1"/>
  <c r="J359" i="1" s="1"/>
  <c r="I360" i="1"/>
  <c r="J360" i="1" s="1" a="1"/>
  <c r="J360" i="1" s="1"/>
  <c r="I361" i="1"/>
  <c r="J361" i="1" s="1" a="1"/>
  <c r="J361" i="1" s="1"/>
  <c r="I362" i="1"/>
  <c r="J362" i="1" s="1" a="1"/>
  <c r="J362" i="1" s="1"/>
  <c r="I363" i="1"/>
  <c r="J363" i="1" s="1" a="1"/>
  <c r="J363" i="1" s="1"/>
  <c r="I364" i="1"/>
  <c r="J364" i="1" s="1" a="1"/>
  <c r="J364" i="1" s="1"/>
  <c r="I365" i="1"/>
  <c r="J365" i="1" s="1" a="1"/>
  <c r="J365" i="1" s="1"/>
  <c r="I366" i="1"/>
  <c r="J366" i="1" s="1" a="1"/>
  <c r="J366" i="1" s="1"/>
  <c r="I367" i="1"/>
  <c r="J367" i="1" s="1" a="1"/>
  <c r="J367" i="1" s="1"/>
  <c r="I368" i="1"/>
  <c r="J368" i="1" s="1" a="1"/>
  <c r="J368" i="1" s="1"/>
  <c r="I369" i="1"/>
  <c r="J369" i="1" s="1" a="1"/>
  <c r="J369" i="1" s="1"/>
  <c r="I370" i="1"/>
  <c r="J370" i="1" s="1" a="1"/>
  <c r="J370" i="1" s="1"/>
  <c r="I371" i="1"/>
  <c r="J371" i="1" s="1" a="1"/>
  <c r="J371" i="1" s="1"/>
  <c r="I372" i="1"/>
  <c r="J372" i="1" s="1" a="1"/>
  <c r="J372" i="1" s="1"/>
  <c r="I373" i="1"/>
  <c r="J373" i="1" s="1" a="1"/>
  <c r="J373" i="1" s="1"/>
  <c r="I374" i="1"/>
  <c r="J374" i="1" s="1" a="1"/>
  <c r="J374" i="1" s="1"/>
  <c r="I375" i="1"/>
  <c r="J375" i="1" s="1" a="1"/>
  <c r="J375" i="1" s="1"/>
  <c r="I376" i="1"/>
  <c r="J376" i="1" s="1" a="1"/>
  <c r="J376" i="1" s="1"/>
  <c r="I377" i="1"/>
  <c r="J377" i="1" s="1" a="1"/>
  <c r="J377" i="1" s="1"/>
  <c r="I378" i="1"/>
  <c r="J378" i="1" s="1" a="1"/>
  <c r="J378" i="1" s="1"/>
  <c r="I379" i="1"/>
  <c r="J379" i="1" s="1" a="1"/>
  <c r="J379" i="1" s="1"/>
  <c r="I380" i="1"/>
  <c r="J380" i="1" s="1" a="1"/>
  <c r="J380" i="1" s="1"/>
  <c r="I381" i="1"/>
  <c r="J381" i="1" s="1" a="1"/>
  <c r="J381" i="1" s="1"/>
  <c r="I382" i="1"/>
  <c r="J382" i="1" s="1" a="1"/>
  <c r="J382" i="1" s="1"/>
  <c r="I383" i="1"/>
  <c r="J383" i="1" s="1" a="1"/>
  <c r="J383" i="1" s="1"/>
  <c r="I384" i="1"/>
  <c r="J384" i="1" s="1" a="1"/>
  <c r="J384" i="1" s="1"/>
  <c r="I385" i="1"/>
  <c r="J385" i="1" s="1" a="1"/>
  <c r="J385" i="1" s="1"/>
  <c r="I386" i="1"/>
  <c r="J386" i="1" s="1" a="1"/>
  <c r="J386" i="1" s="1"/>
  <c r="I387" i="1"/>
  <c r="J387" i="1" s="1" a="1"/>
  <c r="J387" i="1" s="1"/>
  <c r="I388" i="1"/>
  <c r="J388" i="1" s="1" a="1"/>
  <c r="J388" i="1" s="1"/>
  <c r="I389" i="1"/>
  <c r="J389" i="1" s="1" a="1"/>
  <c r="J389" i="1" s="1"/>
  <c r="I390" i="1"/>
  <c r="J390" i="1" s="1" a="1"/>
  <c r="J390" i="1" s="1"/>
  <c r="I391" i="1"/>
  <c r="J391" i="1" s="1" a="1"/>
  <c r="J391" i="1" s="1"/>
  <c r="I392" i="1"/>
  <c r="J392" i="1" s="1" a="1"/>
  <c r="J392" i="1" s="1"/>
  <c r="I393" i="1"/>
  <c r="J393" i="1" s="1" a="1"/>
  <c r="J393" i="1" s="1"/>
  <c r="I394" i="1"/>
  <c r="J394" i="1" s="1" a="1"/>
  <c r="J394" i="1" s="1"/>
  <c r="I395" i="1"/>
  <c r="J395" i="1" s="1" a="1"/>
  <c r="J395" i="1" s="1"/>
  <c r="I396" i="1"/>
  <c r="J396" i="1" s="1" a="1"/>
  <c r="J396" i="1" s="1"/>
  <c r="I397" i="1"/>
  <c r="J397" i="1" s="1" a="1"/>
  <c r="J397" i="1" s="1"/>
  <c r="I398" i="1"/>
  <c r="J398" i="1" s="1" a="1"/>
  <c r="J398" i="1" s="1"/>
  <c r="I399" i="1"/>
  <c r="J399" i="1" s="1" a="1"/>
  <c r="J399" i="1" s="1"/>
  <c r="I400" i="1"/>
  <c r="J400" i="1" s="1" a="1"/>
  <c r="J400" i="1" s="1"/>
  <c r="I401" i="1"/>
  <c r="J401" i="1" s="1" a="1"/>
  <c r="J401" i="1" s="1"/>
  <c r="I402" i="1"/>
  <c r="J402" i="1" s="1" a="1"/>
  <c r="J402" i="1" s="1"/>
  <c r="I403" i="1"/>
  <c r="J403" i="1" s="1" a="1"/>
  <c r="J403" i="1" s="1"/>
  <c r="I404" i="1"/>
  <c r="J404" i="1" s="1" a="1"/>
  <c r="J404" i="1" s="1"/>
  <c r="I405" i="1"/>
  <c r="J405" i="1" s="1" a="1"/>
  <c r="J405" i="1" s="1"/>
  <c r="I406" i="1"/>
  <c r="J406" i="1" s="1" a="1"/>
  <c r="J406" i="1" s="1"/>
  <c r="I407" i="1"/>
  <c r="J407" i="1" s="1" a="1"/>
  <c r="J407" i="1" s="1"/>
  <c r="I408" i="1"/>
  <c r="J408" i="1" s="1" a="1"/>
  <c r="J408" i="1" s="1"/>
  <c r="I409" i="1"/>
  <c r="J409" i="1" s="1" a="1"/>
  <c r="J409" i="1" s="1"/>
  <c r="I410" i="1"/>
  <c r="J410" i="1" s="1" a="1"/>
  <c r="J410" i="1" s="1"/>
  <c r="I411" i="1"/>
  <c r="J411" i="1" s="1" a="1"/>
  <c r="J411" i="1" s="1"/>
  <c r="I412" i="1"/>
  <c r="J412" i="1" s="1" a="1"/>
  <c r="J412" i="1" s="1"/>
  <c r="I413" i="1"/>
  <c r="J413" i="1" s="1" a="1"/>
  <c r="J413" i="1" s="1"/>
  <c r="I414" i="1"/>
  <c r="J414" i="1" s="1" a="1"/>
  <c r="J414" i="1" s="1"/>
  <c r="I415" i="1"/>
  <c r="J415" i="1" s="1" a="1"/>
  <c r="J415" i="1" s="1"/>
  <c r="I416" i="1"/>
  <c r="J416" i="1" s="1" a="1"/>
  <c r="J416" i="1" s="1"/>
  <c r="I417" i="1"/>
  <c r="J417" i="1" s="1" a="1"/>
  <c r="J417" i="1" s="1"/>
  <c r="I418" i="1"/>
  <c r="J418" i="1" s="1" a="1"/>
  <c r="J418" i="1" s="1"/>
  <c r="I419" i="1"/>
  <c r="J419" i="1" s="1" a="1"/>
  <c r="J419" i="1" s="1"/>
  <c r="I420" i="1"/>
  <c r="J420" i="1" s="1" a="1"/>
  <c r="J420" i="1" s="1"/>
  <c r="I421" i="1"/>
  <c r="J421" i="1" s="1" a="1"/>
  <c r="J421" i="1" s="1"/>
  <c r="I422" i="1"/>
  <c r="J422" i="1" s="1" a="1"/>
  <c r="J422" i="1" s="1"/>
  <c r="I423" i="1"/>
  <c r="J423" i="1" s="1" a="1"/>
  <c r="J423" i="1" s="1"/>
  <c r="I424" i="1"/>
  <c r="J424" i="1" s="1" a="1"/>
  <c r="J424" i="1" s="1"/>
  <c r="I425" i="1"/>
  <c r="J425" i="1" s="1" a="1"/>
  <c r="J425" i="1" s="1"/>
  <c r="I426" i="1"/>
  <c r="J426" i="1" s="1" a="1"/>
  <c r="J426" i="1" s="1"/>
  <c r="I427" i="1"/>
  <c r="J427" i="1" s="1" a="1"/>
  <c r="J427" i="1" s="1"/>
  <c r="I428" i="1"/>
  <c r="J428" i="1" s="1" a="1"/>
  <c r="J428" i="1" s="1"/>
  <c r="I429" i="1"/>
  <c r="J429" i="1" s="1" a="1"/>
  <c r="J429" i="1" s="1"/>
  <c r="I430" i="1"/>
  <c r="J430" i="1" s="1" a="1"/>
  <c r="J430" i="1" s="1"/>
  <c r="I431" i="1"/>
  <c r="J431" i="1" s="1" a="1"/>
  <c r="J431" i="1" s="1"/>
  <c r="I432" i="1"/>
  <c r="J432" i="1" s="1" a="1"/>
  <c r="J432" i="1" s="1"/>
  <c r="I433" i="1"/>
  <c r="J433" i="1" s="1" a="1"/>
  <c r="J433" i="1" s="1"/>
  <c r="I434" i="1"/>
  <c r="J434" i="1" s="1" a="1"/>
  <c r="J434" i="1" s="1"/>
  <c r="I435" i="1"/>
  <c r="J435" i="1" s="1" a="1"/>
  <c r="J435" i="1" s="1"/>
  <c r="I436" i="1"/>
  <c r="J436" i="1" s="1" a="1"/>
  <c r="J436" i="1" s="1"/>
  <c r="I437" i="1"/>
  <c r="J437" i="1" s="1" a="1"/>
  <c r="J437" i="1" s="1"/>
  <c r="I438" i="1"/>
  <c r="J438" i="1" s="1" a="1"/>
  <c r="J438" i="1" s="1"/>
  <c r="I439" i="1"/>
  <c r="J439" i="1" s="1" a="1"/>
  <c r="J439" i="1" s="1"/>
  <c r="I440" i="1"/>
  <c r="J440" i="1" s="1" a="1"/>
  <c r="J440" i="1" s="1"/>
  <c r="I441" i="1"/>
  <c r="J441" i="1" s="1" a="1"/>
  <c r="J441" i="1" s="1"/>
  <c r="I442" i="1"/>
  <c r="J442" i="1" s="1" a="1"/>
  <c r="J442" i="1" s="1"/>
  <c r="I443" i="1"/>
  <c r="J443" i="1" s="1" a="1"/>
  <c r="J443" i="1" s="1"/>
  <c r="I444" i="1"/>
  <c r="J444" i="1" s="1" a="1"/>
  <c r="J444" i="1" s="1"/>
  <c r="I445" i="1"/>
  <c r="J445" i="1" s="1" a="1"/>
  <c r="J445" i="1" s="1"/>
  <c r="I446" i="1"/>
  <c r="J446" i="1" s="1" a="1"/>
  <c r="J446" i="1" s="1"/>
  <c r="I447" i="1"/>
  <c r="J447" i="1" s="1" a="1"/>
  <c r="J447" i="1" s="1"/>
  <c r="I448" i="1"/>
  <c r="J448" i="1" s="1" a="1"/>
  <c r="J448" i="1" s="1"/>
  <c r="I449" i="1"/>
  <c r="J449" i="1" s="1" a="1"/>
  <c r="J449" i="1" s="1"/>
  <c r="I450" i="1"/>
  <c r="J450" i="1" s="1" a="1"/>
  <c r="J450" i="1" s="1"/>
  <c r="I451" i="1"/>
  <c r="J451" i="1" s="1" a="1"/>
  <c r="J451" i="1" s="1"/>
  <c r="I452" i="1"/>
  <c r="J452" i="1" s="1" a="1"/>
  <c r="J452" i="1" s="1"/>
  <c r="I453" i="1"/>
  <c r="J453" i="1" s="1" a="1"/>
  <c r="J453" i="1" s="1"/>
  <c r="I454" i="1"/>
  <c r="J454" i="1" s="1" a="1"/>
  <c r="J454" i="1" s="1"/>
  <c r="I455" i="1"/>
  <c r="J455" i="1" s="1" a="1"/>
  <c r="J455" i="1" s="1"/>
  <c r="I456" i="1"/>
  <c r="J456" i="1" s="1" a="1"/>
  <c r="J456" i="1" s="1"/>
  <c r="I457" i="1"/>
  <c r="J457" i="1" s="1" a="1"/>
  <c r="J457" i="1" s="1"/>
  <c r="I458" i="1"/>
  <c r="J458" i="1" s="1" a="1"/>
  <c r="J458" i="1" s="1"/>
  <c r="I459" i="1"/>
  <c r="J459" i="1" s="1" a="1"/>
  <c r="J459" i="1" s="1"/>
  <c r="I460" i="1"/>
  <c r="J460" i="1" s="1" a="1"/>
  <c r="J460" i="1" s="1"/>
  <c r="I461" i="1"/>
  <c r="J461" i="1" s="1" a="1"/>
  <c r="J461" i="1" s="1"/>
  <c r="I462" i="1"/>
  <c r="J462" i="1" s="1" a="1"/>
  <c r="J462" i="1" s="1"/>
  <c r="I463" i="1"/>
  <c r="J463" i="1" s="1" a="1"/>
  <c r="J463" i="1" s="1"/>
  <c r="I464" i="1"/>
  <c r="J464" i="1" s="1" a="1"/>
  <c r="J464" i="1" s="1"/>
  <c r="I465" i="1"/>
  <c r="J465" i="1" s="1" a="1"/>
  <c r="J465" i="1" s="1"/>
  <c r="I466" i="1"/>
  <c r="J466" i="1" s="1" a="1"/>
  <c r="J466" i="1" s="1"/>
  <c r="I467" i="1"/>
  <c r="J467" i="1" s="1" a="1"/>
  <c r="J467" i="1" s="1"/>
  <c r="I468" i="1"/>
  <c r="J468" i="1" s="1" a="1"/>
  <c r="J468" i="1" s="1"/>
  <c r="I469" i="1"/>
  <c r="J469" i="1" s="1" a="1"/>
  <c r="J469" i="1" s="1"/>
  <c r="I470" i="1"/>
  <c r="J470" i="1" s="1" a="1"/>
  <c r="J470" i="1" s="1"/>
  <c r="I471" i="1"/>
  <c r="J471" i="1" s="1" a="1"/>
  <c r="J471" i="1" s="1"/>
  <c r="I472" i="1"/>
  <c r="J472" i="1" s="1" a="1"/>
  <c r="J472" i="1" s="1"/>
  <c r="I473" i="1"/>
  <c r="J473" i="1" s="1" a="1"/>
  <c r="J473" i="1" s="1"/>
  <c r="I474" i="1"/>
  <c r="J474" i="1" s="1" a="1"/>
  <c r="J474" i="1" s="1"/>
  <c r="I475" i="1"/>
  <c r="J475" i="1" s="1" a="1"/>
  <c r="J475" i="1" s="1"/>
  <c r="I476" i="1"/>
  <c r="J476" i="1" s="1" a="1"/>
  <c r="J476" i="1" s="1"/>
  <c r="I477" i="1"/>
  <c r="J477" i="1" s="1" a="1"/>
  <c r="J477" i="1" s="1"/>
  <c r="I478" i="1"/>
  <c r="J478" i="1" s="1" a="1"/>
  <c r="J478" i="1" s="1"/>
  <c r="I479" i="1"/>
  <c r="J479" i="1" s="1" a="1"/>
  <c r="J479" i="1" s="1"/>
  <c r="I480" i="1"/>
  <c r="J480" i="1" s="1" a="1"/>
  <c r="J480" i="1" s="1"/>
  <c r="I481" i="1"/>
  <c r="J481" i="1" s="1" a="1"/>
  <c r="J481" i="1" s="1"/>
  <c r="I482" i="1"/>
  <c r="J482" i="1" s="1" a="1"/>
  <c r="J482" i="1" s="1"/>
  <c r="I483" i="1"/>
  <c r="J483" i="1" s="1" a="1"/>
  <c r="J483" i="1" s="1"/>
  <c r="I484" i="1"/>
  <c r="J484" i="1" s="1" a="1"/>
  <c r="J484" i="1" s="1"/>
  <c r="I485" i="1"/>
  <c r="J485" i="1" s="1" a="1"/>
  <c r="J485" i="1" s="1"/>
  <c r="I486" i="1"/>
  <c r="J486" i="1" s="1" a="1"/>
  <c r="J486" i="1" s="1"/>
  <c r="I487" i="1"/>
  <c r="J487" i="1" s="1" a="1"/>
  <c r="J487" i="1" s="1"/>
  <c r="I488" i="1"/>
  <c r="J488" i="1" s="1" a="1"/>
  <c r="J488" i="1" s="1"/>
  <c r="I489" i="1"/>
  <c r="J489" i="1" s="1" a="1"/>
  <c r="J489" i="1" s="1"/>
  <c r="I490" i="1"/>
  <c r="J490" i="1" s="1" a="1"/>
  <c r="J490" i="1" s="1"/>
  <c r="I491" i="1"/>
  <c r="J491" i="1" s="1" a="1"/>
  <c r="J491" i="1" s="1"/>
  <c r="I492" i="1"/>
  <c r="J492" i="1" s="1" a="1"/>
  <c r="J492" i="1" s="1"/>
  <c r="I493" i="1"/>
  <c r="J493" i="1" s="1" a="1"/>
  <c r="J493" i="1" s="1"/>
  <c r="I494" i="1"/>
  <c r="J494" i="1" s="1" a="1"/>
  <c r="J494" i="1" s="1"/>
  <c r="I495" i="1"/>
  <c r="J495" i="1" s="1" a="1"/>
  <c r="J495" i="1" s="1"/>
  <c r="I496" i="1"/>
  <c r="J496" i="1" s="1" a="1"/>
  <c r="J496" i="1" s="1"/>
  <c r="I497" i="1"/>
  <c r="J497" i="1" s="1" a="1"/>
  <c r="J497" i="1" s="1"/>
  <c r="I498" i="1"/>
  <c r="J498" i="1" s="1" a="1"/>
  <c r="J498" i="1" s="1"/>
  <c r="I499" i="1"/>
  <c r="J499" i="1" s="1" a="1"/>
  <c r="J499" i="1" s="1"/>
  <c r="I500" i="1"/>
  <c r="J500" i="1" s="1" a="1"/>
  <c r="J500" i="1" s="1"/>
  <c r="I501" i="1"/>
  <c r="J501" i="1" s="1" a="1"/>
  <c r="J501" i="1" s="1"/>
  <c r="I502" i="1"/>
  <c r="J502" i="1" s="1" a="1"/>
  <c r="J502" i="1" s="1"/>
  <c r="I503" i="1"/>
  <c r="J503" i="1" s="1" a="1"/>
  <c r="J503" i="1" s="1"/>
  <c r="I504" i="1"/>
  <c r="J504" i="1" s="1" a="1"/>
  <c r="J504" i="1" s="1"/>
  <c r="I505" i="1"/>
  <c r="J505" i="1" s="1" a="1"/>
  <c r="J505" i="1" s="1"/>
  <c r="I506" i="1"/>
  <c r="J506" i="1" s="1" a="1"/>
  <c r="J506" i="1" s="1"/>
  <c r="I507" i="1"/>
  <c r="J507" i="1" s="1" a="1"/>
  <c r="J507" i="1" s="1"/>
  <c r="I508" i="1"/>
  <c r="J508" i="1" s="1" a="1"/>
  <c r="J508" i="1" s="1"/>
  <c r="I509" i="1"/>
  <c r="J509" i="1" s="1" a="1"/>
  <c r="J509" i="1" s="1"/>
  <c r="I510" i="1"/>
  <c r="J510" i="1" s="1" a="1"/>
  <c r="J510" i="1" s="1"/>
  <c r="I511" i="1"/>
  <c r="J511" i="1" s="1" a="1"/>
  <c r="J511" i="1" s="1"/>
  <c r="I512" i="1"/>
  <c r="J512" i="1" s="1" a="1"/>
  <c r="J512" i="1" s="1"/>
  <c r="I513" i="1"/>
  <c r="J513" i="1" s="1" a="1"/>
  <c r="J513" i="1" s="1"/>
  <c r="I514" i="1"/>
  <c r="J514" i="1" s="1" a="1"/>
  <c r="J514" i="1" s="1"/>
  <c r="I515" i="1"/>
  <c r="J515" i="1" s="1" a="1"/>
  <c r="J515" i="1" s="1"/>
  <c r="I516" i="1"/>
  <c r="J516" i="1" s="1" a="1"/>
  <c r="J516" i="1" s="1"/>
  <c r="I517" i="1"/>
  <c r="J517" i="1" s="1" a="1"/>
  <c r="J517" i="1" s="1"/>
  <c r="I518" i="1"/>
  <c r="J518" i="1" s="1" a="1"/>
  <c r="J518" i="1" s="1"/>
  <c r="I519" i="1"/>
  <c r="J519" i="1" s="1" a="1"/>
  <c r="J519" i="1" s="1"/>
  <c r="I520" i="1"/>
  <c r="J520" i="1" s="1" a="1"/>
  <c r="J520" i="1" s="1"/>
  <c r="I521" i="1"/>
  <c r="J521" i="1" s="1" a="1"/>
  <c r="J521" i="1" s="1"/>
  <c r="I522" i="1"/>
  <c r="J522" i="1" s="1" a="1"/>
  <c r="J522" i="1" s="1"/>
  <c r="I523" i="1"/>
  <c r="J523" i="1" s="1" a="1"/>
  <c r="J523" i="1" s="1"/>
  <c r="I524" i="1"/>
  <c r="J524" i="1" s="1" a="1"/>
  <c r="J524" i="1" s="1"/>
  <c r="I525" i="1"/>
  <c r="J525" i="1" s="1" a="1"/>
  <c r="J525" i="1" s="1"/>
  <c r="I526" i="1"/>
  <c r="J526" i="1" s="1" a="1"/>
  <c r="J526" i="1" s="1"/>
  <c r="I527" i="1"/>
  <c r="J527" i="1" s="1" a="1"/>
  <c r="J527" i="1" s="1"/>
  <c r="I528" i="1"/>
  <c r="J528" i="1" s="1" a="1"/>
  <c r="J528" i="1" s="1"/>
  <c r="I529" i="1"/>
  <c r="J529" i="1" s="1" a="1"/>
  <c r="J529" i="1" s="1"/>
  <c r="I530" i="1"/>
  <c r="J530" i="1" s="1" a="1"/>
  <c r="J530" i="1" s="1"/>
  <c r="I531" i="1"/>
  <c r="J531" i="1" s="1" a="1"/>
  <c r="J531" i="1" s="1"/>
  <c r="I532" i="1"/>
  <c r="J532" i="1" s="1" a="1"/>
  <c r="J532" i="1" s="1"/>
  <c r="I533" i="1"/>
  <c r="J533" i="1" s="1" a="1"/>
  <c r="J533" i="1" s="1"/>
  <c r="I534" i="1"/>
  <c r="J534" i="1" s="1" a="1"/>
  <c r="J534" i="1" s="1"/>
  <c r="I535" i="1"/>
  <c r="J535" i="1" s="1" a="1"/>
  <c r="J535" i="1" s="1"/>
  <c r="I536" i="1"/>
  <c r="J536" i="1" s="1" a="1"/>
  <c r="J536" i="1" s="1"/>
  <c r="I537" i="1"/>
  <c r="J537" i="1" s="1" a="1"/>
  <c r="J537" i="1" s="1"/>
  <c r="I538" i="1"/>
  <c r="J538" i="1" s="1" a="1"/>
  <c r="J538" i="1" s="1"/>
  <c r="I539" i="1"/>
  <c r="J539" i="1" s="1" a="1"/>
  <c r="J539" i="1" s="1"/>
  <c r="I540" i="1"/>
  <c r="J540" i="1" s="1" a="1"/>
  <c r="J540" i="1" s="1"/>
  <c r="I541" i="1"/>
  <c r="J541" i="1" s="1" a="1"/>
  <c r="J541" i="1" s="1"/>
  <c r="I542" i="1"/>
  <c r="J542" i="1" s="1" a="1"/>
  <c r="J542" i="1" s="1"/>
  <c r="I543" i="1"/>
  <c r="J543" i="1" s="1" a="1"/>
  <c r="J543" i="1" s="1"/>
  <c r="I544" i="1"/>
  <c r="J544" i="1" s="1" a="1"/>
  <c r="J544" i="1" s="1"/>
  <c r="I545" i="1"/>
  <c r="J545" i="1" s="1" a="1"/>
  <c r="J545" i="1" s="1"/>
  <c r="I546" i="1"/>
  <c r="J546" i="1" s="1" a="1"/>
  <c r="J546" i="1" s="1"/>
  <c r="I547" i="1"/>
  <c r="J547" i="1" s="1" a="1"/>
  <c r="J547" i="1" s="1"/>
  <c r="I548" i="1"/>
  <c r="J548" i="1" s="1" a="1"/>
  <c r="J548" i="1" s="1"/>
  <c r="I549" i="1"/>
  <c r="J549" i="1" s="1" a="1"/>
  <c r="J549" i="1" s="1"/>
  <c r="I550" i="1"/>
  <c r="J550" i="1" s="1" a="1"/>
  <c r="J550" i="1" s="1"/>
  <c r="I551" i="1"/>
  <c r="J551" i="1" s="1" a="1"/>
  <c r="J551" i="1" s="1"/>
  <c r="I552" i="1"/>
  <c r="J552" i="1" s="1" a="1"/>
  <c r="J552" i="1" s="1"/>
  <c r="I553" i="1"/>
  <c r="J553" i="1" s="1" a="1"/>
  <c r="J553" i="1" s="1"/>
  <c r="I554" i="1"/>
  <c r="J554" i="1" s="1" a="1"/>
  <c r="J554" i="1" s="1"/>
  <c r="I555" i="1"/>
  <c r="J555" i="1" s="1" a="1"/>
  <c r="J555" i="1" s="1"/>
  <c r="I556" i="1"/>
  <c r="J556" i="1" s="1" a="1"/>
  <c r="J556" i="1" s="1"/>
  <c r="I557" i="1"/>
  <c r="J557" i="1" s="1" a="1"/>
  <c r="J557" i="1" s="1"/>
  <c r="I558" i="1"/>
  <c r="J558" i="1" s="1" a="1"/>
  <c r="J558" i="1" s="1"/>
  <c r="I559" i="1"/>
  <c r="J559" i="1" s="1" a="1"/>
  <c r="J559" i="1" s="1"/>
  <c r="I560" i="1"/>
  <c r="J560" i="1" s="1" a="1"/>
  <c r="J560" i="1" s="1"/>
  <c r="I561" i="1"/>
  <c r="J561" i="1" s="1" a="1"/>
  <c r="J561" i="1" s="1"/>
  <c r="I562" i="1"/>
  <c r="J562" i="1" s="1" a="1"/>
  <c r="J562" i="1" s="1"/>
  <c r="I563" i="1"/>
  <c r="J563" i="1" s="1" a="1"/>
  <c r="J563" i="1" s="1"/>
  <c r="I564" i="1"/>
  <c r="J564" i="1" s="1" a="1"/>
  <c r="J564" i="1" s="1"/>
  <c r="I565" i="1"/>
  <c r="J565" i="1" s="1" a="1"/>
  <c r="J565" i="1" s="1"/>
  <c r="I566" i="1"/>
  <c r="J566" i="1" s="1" a="1"/>
  <c r="J566" i="1" s="1"/>
  <c r="I567" i="1"/>
  <c r="J567" i="1" s="1" a="1"/>
  <c r="J567" i="1" s="1"/>
  <c r="I568" i="1"/>
  <c r="J568" i="1" s="1" a="1"/>
  <c r="J568" i="1" s="1"/>
  <c r="I569" i="1"/>
  <c r="J569" i="1" s="1" a="1"/>
  <c r="J569" i="1" s="1"/>
  <c r="I570" i="1"/>
  <c r="J570" i="1" s="1" a="1"/>
  <c r="J570" i="1" s="1"/>
  <c r="I571" i="1"/>
  <c r="J571" i="1" s="1" a="1"/>
  <c r="J571" i="1" s="1"/>
  <c r="I572" i="1"/>
  <c r="J572" i="1" s="1" a="1"/>
  <c r="J572" i="1" s="1"/>
  <c r="I573" i="1"/>
  <c r="J573" i="1" s="1" a="1"/>
  <c r="J573" i="1" s="1"/>
  <c r="I574" i="1"/>
  <c r="J574" i="1" s="1" a="1"/>
  <c r="J574" i="1" s="1"/>
  <c r="I575" i="1"/>
  <c r="J575" i="1" s="1" a="1"/>
  <c r="J575" i="1" s="1"/>
  <c r="I576" i="1"/>
  <c r="J576" i="1" s="1" a="1"/>
  <c r="J576" i="1" s="1"/>
  <c r="I577" i="1"/>
  <c r="J577" i="1" s="1" a="1"/>
  <c r="J577" i="1" s="1"/>
  <c r="I578" i="1"/>
  <c r="J578" i="1" s="1" a="1"/>
  <c r="J578" i="1" s="1"/>
  <c r="I579" i="1"/>
  <c r="J579" i="1" s="1" a="1"/>
  <c r="J579" i="1" s="1"/>
  <c r="I580" i="1"/>
  <c r="J580" i="1" s="1" a="1"/>
  <c r="J580" i="1" s="1"/>
  <c r="I581" i="1"/>
  <c r="J581" i="1" s="1" a="1"/>
  <c r="J581" i="1" s="1"/>
  <c r="I582" i="1"/>
  <c r="J582" i="1" s="1" a="1"/>
  <c r="J582" i="1" s="1"/>
  <c r="I583" i="1"/>
  <c r="J583" i="1" s="1" a="1"/>
  <c r="J583" i="1" s="1"/>
  <c r="I584" i="1"/>
  <c r="J584" i="1" s="1" a="1"/>
  <c r="J584" i="1" s="1"/>
  <c r="I585" i="1"/>
  <c r="J585" i="1" s="1" a="1"/>
  <c r="J585" i="1" s="1"/>
  <c r="I586" i="1"/>
  <c r="J586" i="1" s="1" a="1"/>
  <c r="J586" i="1" s="1"/>
  <c r="I587" i="1"/>
  <c r="J587" i="1" s="1" a="1"/>
  <c r="J587" i="1" s="1"/>
  <c r="I588" i="1"/>
  <c r="J588" i="1" s="1" a="1"/>
  <c r="J588" i="1" s="1"/>
  <c r="I589" i="1"/>
  <c r="J589" i="1" s="1" a="1"/>
  <c r="J589" i="1" s="1"/>
  <c r="I590" i="1"/>
  <c r="J590" i="1" s="1" a="1"/>
  <c r="J590" i="1" s="1"/>
  <c r="I591" i="1"/>
  <c r="J591" i="1" s="1" a="1"/>
  <c r="J591" i="1" s="1"/>
  <c r="I592" i="1"/>
  <c r="J592" i="1" s="1" a="1"/>
  <c r="J592" i="1" s="1"/>
  <c r="I593" i="1"/>
  <c r="J593" i="1" s="1" a="1"/>
  <c r="J593" i="1" s="1"/>
  <c r="I594" i="1"/>
  <c r="J594" i="1" s="1" a="1"/>
  <c r="J594" i="1" s="1"/>
  <c r="I595" i="1"/>
  <c r="J595" i="1" s="1" a="1"/>
  <c r="J595" i="1" s="1"/>
  <c r="I596" i="1"/>
  <c r="J596" i="1" s="1" a="1"/>
  <c r="J596" i="1" s="1"/>
  <c r="I597" i="1"/>
  <c r="J597" i="1" s="1" a="1"/>
  <c r="J597" i="1" s="1"/>
  <c r="I598" i="1"/>
  <c r="J598" i="1" s="1" a="1"/>
  <c r="J598" i="1" s="1"/>
  <c r="I599" i="1"/>
  <c r="J599" i="1" s="1" a="1"/>
  <c r="J599" i="1" s="1"/>
  <c r="I600" i="1"/>
  <c r="J600" i="1" s="1" a="1"/>
  <c r="J600" i="1" s="1"/>
  <c r="I601" i="1"/>
  <c r="J601" i="1" s="1" a="1"/>
  <c r="J601" i="1" s="1"/>
  <c r="I602" i="1"/>
  <c r="J602" i="1" s="1" a="1"/>
  <c r="J602" i="1" s="1"/>
  <c r="I603" i="1"/>
  <c r="J603" i="1" s="1" a="1"/>
  <c r="J603" i="1" s="1"/>
  <c r="I604" i="1"/>
  <c r="J604" i="1" s="1" a="1"/>
  <c r="J604" i="1" s="1"/>
  <c r="I605" i="1"/>
  <c r="J605" i="1" s="1" a="1"/>
  <c r="J605" i="1" s="1"/>
  <c r="I606" i="1"/>
  <c r="J606" i="1" s="1" a="1"/>
  <c r="J606" i="1" s="1"/>
  <c r="I607" i="1"/>
  <c r="J607" i="1" s="1" a="1"/>
  <c r="J607" i="1" s="1"/>
  <c r="I608" i="1"/>
  <c r="J608" i="1" s="1" a="1"/>
  <c r="J608" i="1" s="1"/>
  <c r="I609" i="1"/>
  <c r="J609" i="1" s="1" a="1"/>
  <c r="J609" i="1" s="1"/>
  <c r="I610" i="1"/>
  <c r="J610" i="1" s="1" a="1"/>
  <c r="J610" i="1" s="1"/>
  <c r="I611" i="1"/>
  <c r="J611" i="1" s="1" a="1"/>
  <c r="J611" i="1" s="1"/>
  <c r="I612" i="1"/>
  <c r="J612" i="1" s="1" a="1"/>
  <c r="J612" i="1" s="1"/>
  <c r="I613" i="1"/>
  <c r="J613" i="1" s="1" a="1"/>
  <c r="J613" i="1" s="1"/>
  <c r="I614" i="1"/>
  <c r="J614" i="1" s="1" a="1"/>
  <c r="J614" i="1" s="1"/>
  <c r="I615" i="1"/>
  <c r="J615" i="1" s="1" a="1"/>
  <c r="J615" i="1" s="1"/>
  <c r="I616" i="1"/>
  <c r="J616" i="1" s="1" a="1"/>
  <c r="J616" i="1" s="1"/>
  <c r="I617" i="1"/>
  <c r="J617" i="1" s="1" a="1"/>
  <c r="J617" i="1" s="1"/>
  <c r="I618" i="1"/>
  <c r="J618" i="1" s="1" a="1"/>
  <c r="J618" i="1" s="1"/>
  <c r="I619" i="1"/>
  <c r="J619" i="1" s="1" a="1"/>
  <c r="J619" i="1" s="1"/>
  <c r="I620" i="1"/>
  <c r="J620" i="1" s="1" a="1"/>
  <c r="J620" i="1" s="1"/>
  <c r="I621" i="1"/>
  <c r="J621" i="1" s="1" a="1"/>
  <c r="J621" i="1" s="1"/>
  <c r="I622" i="1"/>
  <c r="J622" i="1" s="1" a="1"/>
  <c r="J622" i="1" s="1"/>
  <c r="I623" i="1"/>
  <c r="J623" i="1" s="1" a="1"/>
  <c r="J623" i="1" s="1"/>
  <c r="I624" i="1"/>
  <c r="J624" i="1" s="1" a="1"/>
  <c r="J624" i="1" s="1"/>
  <c r="I625" i="1"/>
  <c r="J625" i="1" s="1" a="1"/>
  <c r="J625" i="1" s="1"/>
  <c r="I626" i="1"/>
  <c r="J626" i="1" s="1" a="1"/>
  <c r="J626" i="1" s="1"/>
  <c r="I627" i="1"/>
  <c r="J627" i="1" s="1" a="1"/>
  <c r="J627" i="1" s="1"/>
  <c r="I628" i="1"/>
  <c r="J628" i="1" s="1" a="1"/>
  <c r="J628" i="1" s="1"/>
  <c r="I629" i="1"/>
  <c r="J629" i="1" s="1" a="1"/>
  <c r="J629" i="1" s="1"/>
  <c r="I630" i="1"/>
  <c r="J630" i="1" s="1" a="1"/>
  <c r="J630" i="1" s="1"/>
  <c r="I631" i="1"/>
  <c r="J631" i="1" s="1" a="1"/>
  <c r="J631" i="1" s="1"/>
  <c r="I632" i="1"/>
  <c r="J632" i="1" s="1" a="1"/>
  <c r="J632" i="1" s="1"/>
  <c r="I633" i="1"/>
  <c r="J633" i="1" s="1" a="1"/>
  <c r="J633" i="1" s="1"/>
  <c r="I634" i="1"/>
  <c r="J634" i="1" s="1" a="1"/>
  <c r="J634" i="1" s="1"/>
  <c r="I635" i="1"/>
  <c r="J635" i="1" s="1" a="1"/>
  <c r="J635" i="1" s="1"/>
  <c r="I636" i="1"/>
  <c r="J636" i="1" s="1" a="1"/>
  <c r="J636" i="1" s="1"/>
  <c r="I637" i="1"/>
  <c r="J637" i="1" s="1" a="1"/>
  <c r="J637" i="1" s="1"/>
  <c r="I638" i="1"/>
  <c r="J638" i="1" s="1" a="1"/>
  <c r="J638" i="1" s="1"/>
  <c r="I639" i="1"/>
  <c r="J639" i="1" s="1" a="1"/>
  <c r="J639" i="1" s="1"/>
  <c r="I640" i="1"/>
  <c r="J640" i="1" s="1" a="1"/>
  <c r="J640" i="1" s="1"/>
  <c r="I641" i="1"/>
  <c r="J641" i="1" s="1" a="1"/>
  <c r="J641" i="1" s="1"/>
  <c r="I642" i="1"/>
  <c r="J642" i="1" s="1" a="1"/>
  <c r="J642" i="1" s="1"/>
  <c r="I643" i="1"/>
  <c r="J643" i="1" s="1" a="1"/>
  <c r="J643" i="1" s="1"/>
  <c r="I644" i="1"/>
  <c r="J644" i="1" s="1" a="1"/>
  <c r="J644" i="1" s="1"/>
  <c r="I645" i="1"/>
  <c r="J645" i="1" s="1" a="1"/>
  <c r="J645" i="1" s="1"/>
  <c r="I646" i="1"/>
  <c r="J646" i="1" s="1" a="1"/>
  <c r="J646" i="1" s="1"/>
  <c r="I647" i="1"/>
  <c r="J647" i="1" s="1" a="1"/>
  <c r="J647" i="1" s="1"/>
  <c r="I648" i="1"/>
  <c r="J648" i="1" s="1" a="1"/>
  <c r="J648" i="1" s="1"/>
  <c r="I649" i="1"/>
  <c r="J649" i="1" s="1" a="1"/>
  <c r="J649" i="1" s="1"/>
  <c r="I650" i="1"/>
  <c r="J650" i="1" s="1" a="1"/>
  <c r="J650" i="1" s="1"/>
  <c r="I651" i="1"/>
  <c r="J651" i="1" s="1" a="1"/>
  <c r="J651" i="1" s="1"/>
  <c r="I652" i="1"/>
  <c r="J652" i="1" s="1" a="1"/>
  <c r="J652" i="1" s="1"/>
  <c r="I653" i="1"/>
  <c r="J653" i="1" s="1" a="1"/>
  <c r="J653" i="1" s="1"/>
  <c r="I654" i="1"/>
  <c r="J654" i="1" s="1" a="1"/>
  <c r="J654" i="1" s="1"/>
  <c r="I655" i="1"/>
  <c r="J655" i="1" s="1" a="1"/>
  <c r="J655" i="1" s="1"/>
  <c r="I656" i="1"/>
  <c r="J656" i="1" s="1" a="1"/>
  <c r="J656" i="1" s="1"/>
  <c r="I657" i="1"/>
  <c r="J657" i="1" s="1" a="1"/>
  <c r="J657" i="1" s="1"/>
  <c r="I658" i="1"/>
  <c r="J658" i="1" s="1" a="1"/>
  <c r="J658" i="1" s="1"/>
  <c r="I659" i="1"/>
  <c r="J659" i="1" s="1" a="1"/>
  <c r="J659" i="1" s="1"/>
  <c r="I660" i="1"/>
  <c r="J660" i="1" s="1" a="1"/>
  <c r="J660" i="1" s="1"/>
  <c r="I661" i="1"/>
  <c r="J661" i="1" s="1" a="1"/>
  <c r="J661" i="1" s="1"/>
  <c r="I662" i="1"/>
  <c r="J662" i="1" s="1" a="1"/>
  <c r="J662" i="1" s="1"/>
  <c r="I663" i="1"/>
  <c r="J663" i="1" s="1" a="1"/>
  <c r="J663" i="1" s="1"/>
  <c r="I664" i="1"/>
  <c r="J664" i="1" s="1" a="1"/>
  <c r="J664" i="1" s="1"/>
  <c r="I665" i="1"/>
  <c r="J665" i="1" s="1" a="1"/>
  <c r="J665" i="1" s="1"/>
  <c r="I666" i="1"/>
  <c r="J666" i="1" s="1" a="1"/>
  <c r="J666" i="1" s="1"/>
  <c r="I667" i="1"/>
  <c r="J667" i="1" s="1" a="1"/>
  <c r="J667" i="1" s="1"/>
  <c r="I668" i="1"/>
  <c r="J668" i="1" s="1" a="1"/>
  <c r="J668" i="1" s="1"/>
  <c r="I669" i="1"/>
  <c r="J669" i="1" s="1" a="1"/>
  <c r="J669" i="1" s="1"/>
  <c r="I670" i="1"/>
  <c r="J670" i="1" s="1" a="1"/>
  <c r="J670" i="1" s="1"/>
  <c r="I671" i="1"/>
  <c r="J671" i="1" s="1" a="1"/>
  <c r="J671" i="1" s="1"/>
  <c r="I672" i="1"/>
  <c r="J672" i="1" s="1" a="1"/>
  <c r="J672" i="1" s="1"/>
  <c r="I673" i="1"/>
  <c r="J673" i="1" s="1" a="1"/>
  <c r="J673" i="1" s="1"/>
  <c r="I674" i="1"/>
  <c r="J674" i="1" s="1" a="1"/>
  <c r="J674" i="1" s="1"/>
  <c r="I675" i="1"/>
  <c r="J675" i="1" s="1" a="1"/>
  <c r="J675" i="1" s="1"/>
  <c r="I676" i="1"/>
  <c r="J676" i="1" s="1" a="1"/>
  <c r="J676" i="1" s="1"/>
  <c r="I677" i="1"/>
  <c r="J677" i="1" s="1" a="1"/>
  <c r="J677" i="1" s="1"/>
  <c r="I678" i="1"/>
  <c r="J678" i="1" s="1" a="1"/>
  <c r="J678" i="1" s="1"/>
  <c r="I679" i="1"/>
  <c r="J679" i="1" s="1" a="1"/>
  <c r="J679" i="1" s="1"/>
  <c r="I680" i="1"/>
  <c r="J680" i="1" s="1" a="1"/>
  <c r="J680" i="1" s="1"/>
  <c r="I681" i="1"/>
  <c r="J681" i="1" s="1" a="1"/>
  <c r="J681" i="1" s="1"/>
  <c r="I682" i="1"/>
  <c r="J682" i="1" s="1" a="1"/>
  <c r="J682" i="1" s="1"/>
  <c r="I683" i="1"/>
  <c r="J683" i="1" s="1" a="1"/>
  <c r="J683" i="1" s="1"/>
  <c r="I684" i="1"/>
  <c r="J684" i="1" s="1" a="1"/>
  <c r="J684" i="1" s="1"/>
  <c r="I685" i="1"/>
  <c r="J685" i="1" s="1" a="1"/>
  <c r="J685" i="1" s="1"/>
  <c r="I686" i="1"/>
  <c r="J686" i="1" s="1" a="1"/>
  <c r="J686" i="1" s="1"/>
  <c r="I687" i="1"/>
  <c r="J687" i="1" s="1" a="1"/>
  <c r="J687" i="1" s="1"/>
  <c r="I688" i="1"/>
  <c r="J688" i="1" s="1" a="1"/>
  <c r="J688" i="1" s="1"/>
  <c r="I689" i="1"/>
  <c r="J689" i="1" s="1" a="1"/>
  <c r="J689" i="1" s="1"/>
  <c r="I690" i="1"/>
  <c r="J690" i="1" s="1" a="1"/>
  <c r="J690" i="1" s="1"/>
  <c r="I691" i="1"/>
  <c r="J691" i="1" s="1" a="1"/>
  <c r="J691" i="1" s="1"/>
  <c r="I692" i="1"/>
  <c r="J692" i="1" s="1" a="1"/>
  <c r="J692" i="1" s="1"/>
  <c r="I693" i="1"/>
  <c r="J693" i="1" s="1" a="1"/>
  <c r="J693" i="1" s="1"/>
  <c r="I694" i="1"/>
  <c r="J694" i="1" s="1" a="1"/>
  <c r="J694" i="1" s="1"/>
  <c r="I695" i="1"/>
  <c r="J695" i="1" s="1" a="1"/>
  <c r="J695" i="1" s="1"/>
  <c r="I696" i="1"/>
  <c r="J696" i="1" s="1" a="1"/>
  <c r="J696" i="1" s="1"/>
  <c r="I697" i="1"/>
  <c r="J697" i="1" s="1" a="1"/>
  <c r="J697" i="1" s="1"/>
  <c r="I698" i="1"/>
  <c r="J698" i="1" s="1" a="1"/>
  <c r="J698" i="1" s="1"/>
  <c r="I699" i="1"/>
  <c r="J699" i="1" s="1" a="1"/>
  <c r="J699" i="1" s="1"/>
  <c r="I700" i="1"/>
  <c r="J700" i="1" s="1" a="1"/>
  <c r="J700" i="1" s="1"/>
  <c r="I701" i="1"/>
  <c r="J701" i="1" s="1" a="1"/>
  <c r="J701" i="1" s="1"/>
  <c r="I702" i="1"/>
  <c r="J702" i="1" s="1" a="1"/>
  <c r="J702" i="1" s="1"/>
  <c r="I703" i="1"/>
  <c r="J703" i="1" s="1" a="1"/>
  <c r="J703" i="1" s="1"/>
  <c r="I704" i="1"/>
  <c r="J704" i="1" s="1" a="1"/>
  <c r="J704" i="1" s="1"/>
  <c r="I705" i="1"/>
  <c r="J705" i="1" s="1" a="1"/>
  <c r="J705" i="1" s="1"/>
  <c r="I706" i="1"/>
  <c r="J706" i="1" s="1" a="1"/>
  <c r="J706" i="1" s="1"/>
  <c r="I707" i="1"/>
  <c r="J707" i="1" s="1" a="1"/>
  <c r="J707" i="1" s="1"/>
  <c r="I708" i="1"/>
  <c r="J708" i="1" s="1" a="1"/>
  <c r="J708" i="1" s="1"/>
  <c r="I709" i="1"/>
  <c r="J709" i="1" s="1" a="1"/>
  <c r="J709" i="1" s="1"/>
  <c r="I710" i="1"/>
  <c r="J710" i="1" s="1" a="1"/>
  <c r="J710" i="1" s="1"/>
  <c r="I711" i="1"/>
  <c r="J711" i="1" s="1" a="1"/>
  <c r="J711" i="1" s="1"/>
  <c r="I712" i="1"/>
  <c r="J712" i="1" s="1" a="1"/>
  <c r="J712" i="1" s="1"/>
  <c r="I713" i="1"/>
  <c r="J713" i="1" s="1" a="1"/>
  <c r="J713" i="1" s="1"/>
  <c r="I714" i="1"/>
  <c r="J714" i="1" s="1" a="1"/>
  <c r="J714" i="1" s="1"/>
  <c r="I715" i="1"/>
  <c r="J715" i="1" s="1" a="1"/>
  <c r="J715" i="1" s="1"/>
  <c r="I716" i="1"/>
  <c r="J716" i="1" s="1" a="1"/>
  <c r="J716" i="1" s="1"/>
  <c r="I717" i="1"/>
  <c r="J717" i="1" s="1" a="1"/>
  <c r="J717" i="1" s="1"/>
  <c r="I718" i="1"/>
  <c r="J718" i="1" s="1" a="1"/>
  <c r="J718" i="1" s="1"/>
  <c r="I719" i="1"/>
  <c r="J719" i="1" s="1" a="1"/>
  <c r="J719" i="1" s="1"/>
  <c r="I720" i="1"/>
  <c r="J720" i="1" s="1" a="1"/>
  <c r="J720" i="1" s="1"/>
  <c r="I721" i="1"/>
  <c r="J721" i="1" s="1" a="1"/>
  <c r="J721" i="1" s="1"/>
  <c r="I722" i="1"/>
  <c r="J722" i="1" s="1" a="1"/>
  <c r="J722" i="1" s="1"/>
  <c r="I723" i="1"/>
  <c r="J723" i="1" s="1" a="1"/>
  <c r="J723" i="1" s="1"/>
  <c r="I724" i="1"/>
  <c r="J724" i="1" s="1" a="1"/>
  <c r="J724" i="1" s="1"/>
  <c r="I725" i="1"/>
  <c r="J725" i="1" s="1" a="1"/>
  <c r="J725" i="1" s="1"/>
  <c r="I726" i="1"/>
  <c r="J726" i="1" s="1" a="1"/>
  <c r="J726" i="1" s="1"/>
  <c r="I727" i="1"/>
  <c r="J727" i="1" s="1" a="1"/>
  <c r="J727" i="1" s="1"/>
  <c r="I728" i="1"/>
  <c r="J728" i="1" s="1" a="1"/>
  <c r="J728" i="1" s="1"/>
  <c r="I729" i="1"/>
  <c r="J729" i="1" s="1" a="1"/>
  <c r="J729" i="1" s="1"/>
  <c r="I730" i="1"/>
  <c r="J730" i="1" s="1" a="1"/>
  <c r="J730" i="1" s="1"/>
  <c r="I731" i="1"/>
  <c r="J731" i="1" s="1" a="1"/>
  <c r="J731" i="1" s="1"/>
  <c r="I732" i="1"/>
  <c r="J732" i="1" s="1" a="1"/>
  <c r="J732" i="1" s="1"/>
  <c r="I733" i="1"/>
  <c r="J733" i="1" s="1" a="1"/>
  <c r="J733" i="1" s="1"/>
  <c r="I734" i="1"/>
  <c r="J734" i="1" s="1" a="1"/>
  <c r="J734" i="1" s="1"/>
  <c r="I735" i="1"/>
  <c r="J735" i="1" s="1" a="1"/>
  <c r="J735" i="1" s="1"/>
  <c r="I736" i="1"/>
  <c r="J736" i="1" s="1" a="1"/>
  <c r="J736" i="1" s="1"/>
  <c r="I737" i="1"/>
  <c r="J737" i="1" s="1" a="1"/>
  <c r="J737" i="1" s="1"/>
  <c r="I738" i="1"/>
  <c r="J738" i="1" s="1" a="1"/>
  <c r="J738" i="1" s="1"/>
  <c r="I739" i="1"/>
  <c r="J739" i="1" s="1" a="1"/>
  <c r="J739" i="1" s="1"/>
  <c r="I740" i="1"/>
  <c r="J740" i="1" s="1" a="1"/>
  <c r="J740" i="1" s="1"/>
  <c r="I741" i="1"/>
  <c r="J741" i="1" s="1" a="1"/>
  <c r="J741" i="1" s="1"/>
  <c r="I742" i="1"/>
  <c r="J742" i="1" s="1" a="1"/>
  <c r="J742" i="1" s="1"/>
  <c r="I743" i="1"/>
  <c r="J743" i="1" s="1" a="1"/>
  <c r="J743" i="1" s="1"/>
  <c r="I744" i="1"/>
  <c r="J744" i="1" s="1" a="1"/>
  <c r="J744" i="1" s="1"/>
  <c r="I745" i="1"/>
  <c r="J745" i="1" s="1" a="1"/>
  <c r="J745" i="1" s="1"/>
  <c r="I746" i="1"/>
  <c r="J746" i="1" s="1" a="1"/>
  <c r="J746" i="1" s="1"/>
  <c r="I747" i="1"/>
  <c r="J747" i="1" s="1" a="1"/>
  <c r="J747" i="1" s="1"/>
  <c r="I748" i="1"/>
  <c r="J748" i="1" s="1" a="1"/>
  <c r="J748" i="1" s="1"/>
  <c r="I749" i="1"/>
  <c r="J749" i="1" s="1" a="1"/>
  <c r="J749" i="1" s="1"/>
  <c r="I750" i="1"/>
  <c r="J750" i="1" s="1" a="1"/>
  <c r="J750" i="1" s="1"/>
  <c r="I751" i="1"/>
  <c r="J751" i="1" s="1" a="1"/>
  <c r="J751" i="1" s="1"/>
  <c r="I752" i="1"/>
  <c r="J752" i="1" s="1" a="1"/>
  <c r="J752" i="1" s="1"/>
  <c r="I753" i="1"/>
  <c r="J753" i="1" s="1" a="1"/>
  <c r="J753" i="1" s="1"/>
  <c r="I754" i="1"/>
  <c r="J754" i="1" s="1" a="1"/>
  <c r="J754" i="1" s="1"/>
  <c r="I755" i="1"/>
  <c r="J755" i="1" s="1" a="1"/>
  <c r="J755" i="1" s="1"/>
  <c r="I756" i="1"/>
  <c r="J756" i="1" s="1" a="1"/>
  <c r="J756" i="1" s="1"/>
  <c r="I757" i="1"/>
  <c r="J757" i="1" s="1" a="1"/>
  <c r="J757" i="1" s="1"/>
  <c r="I758" i="1"/>
  <c r="J758" i="1" s="1" a="1"/>
  <c r="J758" i="1" s="1"/>
  <c r="I759" i="1"/>
  <c r="J759" i="1" s="1" a="1"/>
  <c r="J759" i="1" s="1"/>
  <c r="I760" i="1"/>
  <c r="J760" i="1" s="1" a="1"/>
  <c r="J760" i="1" s="1"/>
  <c r="I761" i="1"/>
  <c r="J761" i="1" s="1" a="1"/>
  <c r="J761" i="1" s="1"/>
  <c r="I762" i="1"/>
  <c r="J762" i="1" s="1" a="1"/>
  <c r="J762" i="1" s="1"/>
  <c r="I763" i="1"/>
  <c r="J763" i="1" s="1" a="1"/>
  <c r="J763" i="1" s="1"/>
  <c r="I764" i="1"/>
  <c r="J764" i="1" s="1" a="1"/>
  <c r="J764" i="1" s="1"/>
  <c r="I765" i="1"/>
  <c r="J765" i="1" s="1" a="1"/>
  <c r="J765" i="1" s="1"/>
  <c r="I766" i="1"/>
  <c r="J766" i="1" s="1" a="1"/>
  <c r="J766" i="1" s="1"/>
  <c r="I767" i="1"/>
  <c r="J767" i="1" s="1" a="1"/>
  <c r="J767" i="1" s="1"/>
  <c r="I768" i="1"/>
  <c r="J768" i="1" s="1" a="1"/>
  <c r="J768" i="1" s="1"/>
  <c r="I769" i="1"/>
  <c r="J769" i="1" s="1" a="1"/>
  <c r="J769" i="1" s="1"/>
  <c r="I770" i="1"/>
  <c r="J770" i="1" s="1" a="1"/>
  <c r="J770" i="1" s="1"/>
  <c r="I771" i="1"/>
  <c r="J771" i="1" s="1" a="1"/>
  <c r="J771" i="1" s="1"/>
  <c r="I772" i="1"/>
  <c r="J772" i="1" s="1" a="1"/>
  <c r="J772" i="1" s="1"/>
  <c r="I773" i="1"/>
  <c r="J773" i="1" s="1" a="1"/>
  <c r="J773" i="1" s="1"/>
  <c r="I774" i="1"/>
  <c r="J774" i="1" s="1" a="1"/>
  <c r="J774" i="1" s="1"/>
  <c r="I775" i="1"/>
  <c r="J775" i="1" s="1" a="1"/>
  <c r="J775" i="1" s="1"/>
  <c r="I776" i="1"/>
  <c r="J776" i="1" s="1" a="1"/>
  <c r="J776" i="1" s="1"/>
  <c r="I777" i="1"/>
  <c r="J777" i="1" s="1" a="1"/>
  <c r="J777" i="1" s="1"/>
  <c r="I778" i="1"/>
  <c r="J778" i="1" s="1" a="1"/>
  <c r="J778" i="1" s="1"/>
  <c r="I779" i="1"/>
  <c r="J779" i="1" s="1" a="1"/>
  <c r="J779" i="1" s="1"/>
  <c r="I780" i="1"/>
  <c r="J780" i="1" s="1" a="1"/>
  <c r="J780" i="1" s="1"/>
  <c r="I781" i="1"/>
  <c r="J781" i="1" s="1" a="1"/>
  <c r="J781" i="1" s="1"/>
  <c r="I782" i="1"/>
  <c r="J782" i="1" s="1" a="1"/>
  <c r="J782" i="1" s="1"/>
  <c r="I783" i="1"/>
  <c r="J783" i="1" s="1" a="1"/>
  <c r="J783" i="1" s="1"/>
  <c r="I784" i="1"/>
  <c r="J784" i="1" s="1" a="1"/>
  <c r="J784" i="1" s="1"/>
  <c r="I785" i="1"/>
  <c r="J785" i="1" s="1" a="1"/>
  <c r="J785" i="1" s="1"/>
  <c r="I786" i="1"/>
  <c r="J786" i="1" s="1" a="1"/>
  <c r="J786" i="1" s="1"/>
  <c r="I787" i="1"/>
  <c r="J787" i="1" s="1" a="1"/>
  <c r="J787" i="1" s="1"/>
  <c r="I788" i="1"/>
  <c r="J788" i="1" s="1" a="1"/>
  <c r="J788" i="1" s="1"/>
  <c r="I789" i="1"/>
  <c r="J789" i="1" s="1" a="1"/>
  <c r="J789" i="1" s="1"/>
  <c r="I790" i="1"/>
  <c r="J790" i="1" s="1" a="1"/>
  <c r="J790" i="1" s="1"/>
  <c r="I791" i="1"/>
  <c r="J791" i="1" s="1" a="1"/>
  <c r="J791" i="1" s="1"/>
  <c r="I792" i="1"/>
  <c r="J792" i="1" s="1" a="1"/>
  <c r="J792" i="1" s="1"/>
  <c r="I793" i="1"/>
  <c r="J793" i="1" s="1" a="1"/>
  <c r="J793" i="1" s="1"/>
  <c r="I794" i="1"/>
  <c r="J794" i="1" s="1" a="1"/>
  <c r="J794" i="1" s="1"/>
  <c r="I795" i="1"/>
  <c r="J795" i="1" s="1" a="1"/>
  <c r="J795" i="1" s="1"/>
  <c r="I796" i="1"/>
  <c r="J796" i="1" s="1" a="1"/>
  <c r="J796" i="1" s="1"/>
  <c r="I797" i="1"/>
  <c r="J797" i="1" s="1" a="1"/>
  <c r="J797" i="1" s="1"/>
  <c r="I798" i="1"/>
  <c r="J798" i="1" s="1" a="1"/>
  <c r="J798" i="1" s="1"/>
  <c r="I799" i="1"/>
  <c r="J799" i="1" s="1" a="1"/>
  <c r="J799" i="1" s="1"/>
  <c r="I800" i="1"/>
  <c r="J800" i="1" s="1" a="1"/>
  <c r="J800" i="1" s="1"/>
  <c r="I801" i="1"/>
  <c r="J801" i="1" s="1" a="1"/>
  <c r="J801" i="1" s="1"/>
  <c r="N148" i="1" l="1" a="1"/>
  <c r="N148" i="1" s="1"/>
  <c r="N645" i="1" a="1"/>
  <c r="N645" i="1" s="1"/>
  <c r="N524" i="1" a="1"/>
  <c r="N524" i="1" s="1"/>
  <c r="N316" i="1" a="1"/>
  <c r="N316" i="1" s="1"/>
  <c r="N575" i="1" a="1"/>
  <c r="N575" i="1" s="1"/>
  <c r="M52" i="1" a="1"/>
  <c r="M52" i="1" s="1"/>
  <c r="N633" i="1" a="1"/>
  <c r="N633" i="1" s="1"/>
  <c r="N574" i="1" a="1"/>
  <c r="N574" i="1" s="1"/>
  <c r="N517" i="1" a="1"/>
  <c r="N517" i="1" s="1"/>
  <c r="N308" i="1" a="1"/>
  <c r="N308" i="1" s="1"/>
  <c r="N97" i="1" a="1"/>
  <c r="N97" i="1" s="1"/>
  <c r="N773" i="1" a="1"/>
  <c r="N773" i="1" s="1"/>
  <c r="N632" i="1" a="1"/>
  <c r="N632" i="1" s="1"/>
  <c r="N562" i="1" a="1"/>
  <c r="N562" i="1" s="1"/>
  <c r="N436" i="1" a="1"/>
  <c r="N436" i="1" s="1"/>
  <c r="N286" i="1" a="1"/>
  <c r="N286" i="1" s="1"/>
  <c r="N26" i="1" a="1"/>
  <c r="N26" i="1" s="1"/>
  <c r="N619" i="1" a="1"/>
  <c r="N619" i="1" s="1"/>
  <c r="N530" i="1" a="1"/>
  <c r="N530" i="1" s="1"/>
  <c r="N418" i="1" a="1"/>
  <c r="N418" i="1" s="1"/>
  <c r="N273" i="1" a="1"/>
  <c r="N273" i="1" s="1"/>
  <c r="M523" i="1" a="1"/>
  <c r="M523" i="1" s="1"/>
  <c r="N523" i="1" a="1"/>
  <c r="N523" i="1" s="1"/>
  <c r="M471" i="1" a="1"/>
  <c r="M471" i="1" s="1"/>
  <c r="N471" i="1" a="1"/>
  <c r="N471" i="1" s="1"/>
  <c r="M504" i="1" a="1"/>
  <c r="M504" i="1" s="1"/>
  <c r="N504" i="1" a="1"/>
  <c r="N504" i="1" s="1"/>
  <c r="M485" i="1" a="1"/>
  <c r="M485" i="1" s="1"/>
  <c r="N485" i="1" a="1"/>
  <c r="N485" i="1" s="1"/>
  <c r="M272" i="1" a="1"/>
  <c r="M272" i="1" s="1"/>
  <c r="N272" i="1" a="1"/>
  <c r="N272" i="1" s="1"/>
  <c r="N46" i="1" a="1"/>
  <c r="N46" i="1" s="1"/>
  <c r="M361" i="1" a="1"/>
  <c r="M361" i="1" s="1"/>
  <c r="N361" i="1" a="1"/>
  <c r="N361" i="1" s="1"/>
  <c r="M372" i="1" a="1"/>
  <c r="M372" i="1" s="1"/>
  <c r="N372" i="1" a="1"/>
  <c r="N372" i="1" s="1"/>
  <c r="N601" i="1" a="1"/>
  <c r="N601" i="1" s="1"/>
  <c r="M506" i="1" a="1"/>
  <c r="M506" i="1" s="1"/>
  <c r="N741" i="1" a="1"/>
  <c r="N741" i="1" s="1"/>
  <c r="N639" i="1" a="1"/>
  <c r="N639" i="1" s="1"/>
  <c r="N626" i="1" a="1"/>
  <c r="N626" i="1" s="1"/>
  <c r="N569" i="1" a="1"/>
  <c r="N569" i="1" s="1"/>
  <c r="N555" i="1" a="1"/>
  <c r="N555" i="1" s="1"/>
  <c r="N478" i="1" a="1"/>
  <c r="N478" i="1" s="1"/>
  <c r="N383" i="1" a="1"/>
  <c r="N383" i="1" s="1"/>
  <c r="N340" i="1" a="1"/>
  <c r="N340" i="1" s="1"/>
  <c r="N93" i="1" a="1"/>
  <c r="N93" i="1" s="1"/>
  <c r="N556" i="1" a="1"/>
  <c r="N556" i="1" s="1"/>
  <c r="N511" i="1" a="1"/>
  <c r="N511" i="1" s="1"/>
  <c r="M407" i="1" a="1"/>
  <c r="M407" i="1" s="1"/>
  <c r="N709" i="1" a="1"/>
  <c r="N709" i="1" s="1"/>
  <c r="N638" i="1" a="1"/>
  <c r="N638" i="1" s="1"/>
  <c r="N620" i="1" a="1"/>
  <c r="N620" i="1" s="1"/>
  <c r="N581" i="1" a="1"/>
  <c r="N581" i="1" s="1"/>
  <c r="N568" i="1" a="1"/>
  <c r="N568" i="1" s="1"/>
  <c r="N537" i="1" a="1"/>
  <c r="N537" i="1" s="1"/>
  <c r="N492" i="1" a="1"/>
  <c r="N492" i="1" s="1"/>
  <c r="N324" i="1" a="1"/>
  <c r="N324" i="1" s="1"/>
  <c r="N298" i="1" a="1"/>
  <c r="N298" i="1" s="1"/>
  <c r="N233" i="1" a="1"/>
  <c r="N233" i="1" s="1"/>
  <c r="N49" i="1" a="1"/>
  <c r="N49" i="1" s="1"/>
  <c r="M610" i="1" a="1"/>
  <c r="M610" i="1" s="1"/>
  <c r="N610" i="1" a="1"/>
  <c r="N610" i="1" s="1"/>
  <c r="M373" i="1" a="1"/>
  <c r="M373" i="1" s="1"/>
  <c r="N373" i="1" a="1"/>
  <c r="N373" i="1" s="1"/>
  <c r="M536" i="1" a="1"/>
  <c r="M536" i="1" s="1"/>
  <c r="N536" i="1" a="1"/>
  <c r="N536" i="1" s="1"/>
  <c r="M522" i="1" a="1"/>
  <c r="M522" i="1" s="1"/>
  <c r="N522" i="1" a="1"/>
  <c r="N522" i="1" s="1"/>
  <c r="N662" i="1" a="1"/>
  <c r="N662" i="1" s="1"/>
  <c r="M662" i="1" a="1"/>
  <c r="M662" i="1" s="1"/>
  <c r="M659" i="1" a="1"/>
  <c r="M659" i="1" s="1"/>
  <c r="N659" i="1" a="1"/>
  <c r="N659" i="1" s="1"/>
  <c r="M655" i="1" a="1"/>
  <c r="M655" i="1" s="1"/>
  <c r="N655" i="1" a="1"/>
  <c r="N655" i="1" s="1"/>
  <c r="M648" i="1" a="1"/>
  <c r="M648" i="1" s="1"/>
  <c r="N648" i="1" a="1"/>
  <c r="N648" i="1" s="1"/>
  <c r="M644" i="1" a="1"/>
  <c r="M644" i="1" s="1"/>
  <c r="N644" i="1" a="1"/>
  <c r="N644" i="1" s="1"/>
  <c r="M641" i="1" a="1"/>
  <c r="M641" i="1" s="1"/>
  <c r="N641" i="1" a="1"/>
  <c r="N641" i="1" s="1"/>
  <c r="M637" i="1" a="1"/>
  <c r="M637" i="1" s="1"/>
  <c r="N637" i="1" a="1"/>
  <c r="N637" i="1" s="1"/>
  <c r="M634" i="1" a="1"/>
  <c r="M634" i="1" s="1"/>
  <c r="N634" i="1" a="1"/>
  <c r="N634" i="1" s="1"/>
  <c r="M631" i="1" a="1"/>
  <c r="M631" i="1" s="1"/>
  <c r="N631" i="1" a="1"/>
  <c r="N631" i="1" s="1"/>
  <c r="M628" i="1" a="1"/>
  <c r="M628" i="1" s="1"/>
  <c r="N628" i="1" a="1"/>
  <c r="N628" i="1" s="1"/>
  <c r="M625" i="1" a="1"/>
  <c r="M625" i="1" s="1"/>
  <c r="N625" i="1" a="1"/>
  <c r="N625" i="1" s="1"/>
  <c r="M621" i="1" a="1"/>
  <c r="M621" i="1" s="1"/>
  <c r="N621" i="1" a="1"/>
  <c r="N621" i="1" s="1"/>
  <c r="M617" i="1" a="1"/>
  <c r="M617" i="1" s="1"/>
  <c r="N617" i="1" a="1"/>
  <c r="N617" i="1" s="1"/>
  <c r="M613" i="1" a="1"/>
  <c r="M613" i="1" s="1"/>
  <c r="N613" i="1" a="1"/>
  <c r="N613" i="1" s="1"/>
  <c r="M606" i="1" a="1"/>
  <c r="M606" i="1" s="1"/>
  <c r="N606" i="1" a="1"/>
  <c r="N606" i="1" s="1"/>
  <c r="M558" i="1" a="1"/>
  <c r="M558" i="1" s="1"/>
  <c r="N558" i="1" a="1"/>
  <c r="N558" i="1" s="1"/>
  <c r="M554" i="1" a="1"/>
  <c r="M554" i="1" s="1"/>
  <c r="N554" i="1" a="1"/>
  <c r="N554" i="1" s="1"/>
  <c r="M550" i="1" a="1"/>
  <c r="M550" i="1" s="1"/>
  <c r="N550" i="1" a="1"/>
  <c r="N550" i="1" s="1"/>
  <c r="M546" i="1" a="1"/>
  <c r="M546" i="1" s="1"/>
  <c r="N546" i="1" a="1"/>
  <c r="N546" i="1" s="1"/>
  <c r="M539" i="1" a="1"/>
  <c r="M539" i="1" s="1"/>
  <c r="N539" i="1" a="1"/>
  <c r="N539" i="1" s="1"/>
  <c r="M532" i="1" a="1"/>
  <c r="M532" i="1" s="1"/>
  <c r="N532" i="1" a="1"/>
  <c r="N532" i="1" s="1"/>
  <c r="M528" i="1" a="1"/>
  <c r="M528" i="1" s="1"/>
  <c r="N528" i="1" a="1"/>
  <c r="N528" i="1" s="1"/>
  <c r="M525" i="1" a="1"/>
  <c r="M525" i="1" s="1"/>
  <c r="N525" i="1" a="1"/>
  <c r="N525" i="1" s="1"/>
  <c r="M488" i="1" a="1"/>
  <c r="M488" i="1" s="1"/>
  <c r="N488" i="1" a="1"/>
  <c r="N488" i="1" s="1"/>
  <c r="M484" i="1" a="1"/>
  <c r="M484" i="1" s="1"/>
  <c r="N484" i="1" a="1"/>
  <c r="N484" i="1" s="1"/>
  <c r="M480" i="1" a="1"/>
  <c r="M480" i="1" s="1"/>
  <c r="N480" i="1" a="1"/>
  <c r="N480" i="1" s="1"/>
  <c r="M476" i="1" a="1"/>
  <c r="M476" i="1" s="1"/>
  <c r="N476" i="1" a="1"/>
  <c r="N476" i="1" s="1"/>
  <c r="M473" i="1" a="1"/>
  <c r="M473" i="1" s="1"/>
  <c r="N473" i="1" a="1"/>
  <c r="N473" i="1" s="1"/>
  <c r="M470" i="1" a="1"/>
  <c r="M470" i="1" s="1"/>
  <c r="N470" i="1" a="1"/>
  <c r="N470" i="1" s="1"/>
  <c r="M466" i="1" a="1"/>
  <c r="M466" i="1" s="1"/>
  <c r="N466" i="1" a="1"/>
  <c r="N466" i="1" s="1"/>
  <c r="M463" i="1" a="1"/>
  <c r="M463" i="1" s="1"/>
  <c r="N463" i="1" a="1"/>
  <c r="N463" i="1" s="1"/>
  <c r="M456" i="1" a="1"/>
  <c r="M456" i="1" s="1"/>
  <c r="N456" i="1" a="1"/>
  <c r="N456" i="1" s="1"/>
  <c r="M453" i="1" a="1"/>
  <c r="M453" i="1" s="1"/>
  <c r="N453" i="1" a="1"/>
  <c r="N453" i="1" s="1"/>
  <c r="M449" i="1" a="1"/>
  <c r="M449" i="1" s="1"/>
  <c r="N449" i="1" a="1"/>
  <c r="N449" i="1" s="1"/>
  <c r="M446" i="1" a="1"/>
  <c r="M446" i="1" s="1"/>
  <c r="N446" i="1" a="1"/>
  <c r="N446" i="1" s="1"/>
  <c r="M442" i="1" a="1"/>
  <c r="M442" i="1" s="1"/>
  <c r="N442" i="1" a="1"/>
  <c r="N442" i="1" s="1"/>
  <c r="M439" i="1" a="1"/>
  <c r="M439" i="1" s="1"/>
  <c r="N439" i="1" a="1"/>
  <c r="N439" i="1" s="1"/>
  <c r="M435" i="1" a="1"/>
  <c r="M435" i="1" s="1"/>
  <c r="N435" i="1" a="1"/>
  <c r="N435" i="1" s="1"/>
  <c r="M431" i="1" a="1"/>
  <c r="M431" i="1" s="1"/>
  <c r="N431" i="1" a="1"/>
  <c r="N431" i="1" s="1"/>
  <c r="M427" i="1" a="1"/>
  <c r="M427" i="1" s="1"/>
  <c r="N427" i="1" a="1"/>
  <c r="N427" i="1" s="1"/>
  <c r="M423" i="1" a="1"/>
  <c r="M423" i="1" s="1"/>
  <c r="N423" i="1" a="1"/>
  <c r="N423" i="1" s="1"/>
  <c r="M419" i="1" a="1"/>
  <c r="M419" i="1" s="1"/>
  <c r="N419" i="1" a="1"/>
  <c r="N419" i="1" s="1"/>
  <c r="M411" i="1" a="1"/>
  <c r="M411" i="1" s="1"/>
  <c r="N411" i="1" a="1"/>
  <c r="N411" i="1" s="1"/>
  <c r="M348" i="1" a="1"/>
  <c r="M348" i="1" s="1"/>
  <c r="N348" i="1" a="1"/>
  <c r="N348" i="1" s="1"/>
  <c r="M344" i="1" a="1"/>
  <c r="M344" i="1" s="1"/>
  <c r="N344" i="1" a="1"/>
  <c r="N344" i="1" s="1"/>
  <c r="M341" i="1" a="1"/>
  <c r="M341" i="1" s="1"/>
  <c r="N341" i="1" a="1"/>
  <c r="N341" i="1" s="1"/>
  <c r="M338" i="1" a="1"/>
  <c r="M338" i="1" s="1"/>
  <c r="N338" i="1" a="1"/>
  <c r="N338" i="1" s="1"/>
  <c r="M317" i="1" a="1"/>
  <c r="M317" i="1" s="1"/>
  <c r="N317" i="1" a="1"/>
  <c r="N317" i="1" s="1"/>
  <c r="N303" i="1" a="1"/>
  <c r="N303" i="1" s="1"/>
  <c r="M303" i="1" a="1"/>
  <c r="M303" i="1" s="1"/>
  <c r="M276" i="1" a="1"/>
  <c r="M276" i="1" s="1"/>
  <c r="N276" i="1" a="1"/>
  <c r="N276" i="1" s="1"/>
  <c r="M242" i="1" a="1"/>
  <c r="M242" i="1" s="1"/>
  <c r="N242" i="1" a="1"/>
  <c r="N242" i="1" s="1"/>
  <c r="M238" i="1" a="1"/>
  <c r="M238" i="1" s="1"/>
  <c r="N238" i="1" a="1"/>
  <c r="N238" i="1" s="1"/>
  <c r="M234" i="1" a="1"/>
  <c r="M234" i="1" s="1"/>
  <c r="N234" i="1" a="1"/>
  <c r="N234" i="1" s="1"/>
  <c r="M188" i="1" a="1"/>
  <c r="M188" i="1" s="1"/>
  <c r="N188" i="1" a="1"/>
  <c r="N188" i="1" s="1"/>
  <c r="M170" i="1" a="1"/>
  <c r="M170" i="1" s="1"/>
  <c r="N170" i="1" a="1"/>
  <c r="N170" i="1" s="1"/>
  <c r="M166" i="1" a="1"/>
  <c r="M166" i="1" s="1"/>
  <c r="N166" i="1" a="1"/>
  <c r="N166" i="1" s="1"/>
  <c r="M162" i="1" a="1"/>
  <c r="M162" i="1" s="1"/>
  <c r="N162" i="1" a="1"/>
  <c r="N162" i="1" s="1"/>
  <c r="M159" i="1" a="1"/>
  <c r="M159" i="1" s="1"/>
  <c r="N159" i="1" a="1"/>
  <c r="N159" i="1" s="1"/>
  <c r="M139" i="1" a="1"/>
  <c r="M139" i="1" s="1"/>
  <c r="N139" i="1" a="1"/>
  <c r="N139" i="1" s="1"/>
  <c r="M135" i="1" a="1"/>
  <c r="M135" i="1" s="1"/>
  <c r="N135" i="1" a="1"/>
  <c r="N135" i="1" s="1"/>
  <c r="M131" i="1" a="1"/>
  <c r="M131" i="1" s="1"/>
  <c r="N131" i="1" a="1"/>
  <c r="N131" i="1" s="1"/>
  <c r="M128" i="1" a="1"/>
  <c r="M128" i="1" s="1"/>
  <c r="N128" i="1" a="1"/>
  <c r="N128" i="1" s="1"/>
  <c r="M124" i="1" a="1"/>
  <c r="M124" i="1" s="1"/>
  <c r="N124" i="1" a="1"/>
  <c r="N124" i="1" s="1"/>
  <c r="M58" i="1" a="1"/>
  <c r="M58" i="1" s="1"/>
  <c r="N58" i="1" a="1"/>
  <c r="N58" i="1" s="1"/>
  <c r="M54" i="1" a="1"/>
  <c r="M54" i="1" s="1"/>
  <c r="N54" i="1" a="1"/>
  <c r="N54" i="1" s="1"/>
  <c r="M28" i="1" a="1"/>
  <c r="M28" i="1" s="1"/>
  <c r="N28" i="1" a="1"/>
  <c r="N28" i="1" s="1"/>
  <c r="M24" i="1" a="1"/>
  <c r="M24" i="1" s="1"/>
  <c r="N24" i="1" a="1"/>
  <c r="N24" i="1" s="1"/>
  <c r="M20" i="1" a="1"/>
  <c r="M20" i="1" s="1"/>
  <c r="N20" i="1" a="1"/>
  <c r="N20" i="1" s="1"/>
  <c r="M16" i="1" a="1"/>
  <c r="M16" i="1" s="1"/>
  <c r="N16" i="1" a="1"/>
  <c r="N16" i="1" s="1"/>
  <c r="M12" i="1" a="1"/>
  <c r="M12" i="1" s="1"/>
  <c r="N12" i="1" a="1"/>
  <c r="N12" i="1" s="1"/>
  <c r="M8" i="1" a="1"/>
  <c r="M8" i="1" s="1"/>
  <c r="N8" i="1" a="1"/>
  <c r="N8" i="1" s="1"/>
  <c r="M4" i="1" a="1"/>
  <c r="M4" i="1" s="1"/>
  <c r="N4" i="1" a="1"/>
  <c r="N4" i="1" s="1"/>
  <c r="N652" i="1" a="1"/>
  <c r="N652" i="1" s="1"/>
  <c r="N459" i="1" a="1"/>
  <c r="N459" i="1" s="1"/>
  <c r="N351" i="1" a="1"/>
  <c r="N351" i="1" s="1"/>
  <c r="M668" i="1" a="1"/>
  <c r="M668" i="1" s="1"/>
  <c r="N668" i="1" a="1"/>
  <c r="N668" i="1" s="1"/>
  <c r="M661" i="1" a="1"/>
  <c r="M661" i="1" s="1"/>
  <c r="N661" i="1" a="1"/>
  <c r="N661" i="1" s="1"/>
  <c r="M654" i="1" a="1"/>
  <c r="M654" i="1" s="1"/>
  <c r="N654" i="1" a="1"/>
  <c r="N654" i="1" s="1"/>
  <c r="M651" i="1" a="1"/>
  <c r="M651" i="1" s="1"/>
  <c r="N651" i="1" a="1"/>
  <c r="N651" i="1" s="1"/>
  <c r="M647" i="1" a="1"/>
  <c r="M647" i="1" s="1"/>
  <c r="N647" i="1" a="1"/>
  <c r="N647" i="1" s="1"/>
  <c r="M643" i="1" a="1"/>
  <c r="M643" i="1" s="1"/>
  <c r="N643" i="1" a="1"/>
  <c r="N643" i="1" s="1"/>
  <c r="M640" i="1" a="1"/>
  <c r="M640" i="1" s="1"/>
  <c r="N640" i="1" a="1"/>
  <c r="N640" i="1" s="1"/>
  <c r="M636" i="1" a="1"/>
  <c r="M636" i="1" s="1"/>
  <c r="N636" i="1" a="1"/>
  <c r="N636" i="1" s="1"/>
  <c r="N630" i="1" a="1"/>
  <c r="N630" i="1" s="1"/>
  <c r="M630" i="1" a="1"/>
  <c r="M630" i="1" s="1"/>
  <c r="M624" i="1" a="1"/>
  <c r="M624" i="1" s="1"/>
  <c r="N624" i="1" a="1"/>
  <c r="N624" i="1" s="1"/>
  <c r="N598" i="1" a="1"/>
  <c r="N598" i="1" s="1"/>
  <c r="M598" i="1" a="1"/>
  <c r="M598" i="1" s="1"/>
  <c r="M595" i="1" a="1"/>
  <c r="M595" i="1" s="1"/>
  <c r="N595" i="1" a="1"/>
  <c r="N595" i="1" s="1"/>
  <c r="M591" i="1" a="1"/>
  <c r="M591" i="1" s="1"/>
  <c r="N591" i="1" a="1"/>
  <c r="N591" i="1" s="1"/>
  <c r="M584" i="1" a="1"/>
  <c r="M584" i="1" s="1"/>
  <c r="N584" i="1" a="1"/>
  <c r="N584" i="1" s="1"/>
  <c r="M580" i="1" a="1"/>
  <c r="M580" i="1" s="1"/>
  <c r="N580" i="1" a="1"/>
  <c r="N580" i="1" s="1"/>
  <c r="M577" i="1" a="1"/>
  <c r="M577" i="1" s="1"/>
  <c r="N577" i="1" a="1"/>
  <c r="N577" i="1" s="1"/>
  <c r="M573" i="1" a="1"/>
  <c r="M573" i="1" s="1"/>
  <c r="N573" i="1" a="1"/>
  <c r="N573" i="1" s="1"/>
  <c r="M570" i="1" a="1"/>
  <c r="M570" i="1" s="1"/>
  <c r="N570" i="1" a="1"/>
  <c r="N570" i="1" s="1"/>
  <c r="M567" i="1" a="1"/>
  <c r="M567" i="1" s="1"/>
  <c r="N567" i="1" a="1"/>
  <c r="N567" i="1" s="1"/>
  <c r="M564" i="1" a="1"/>
  <c r="M564" i="1" s="1"/>
  <c r="N564" i="1" a="1"/>
  <c r="N564" i="1" s="1"/>
  <c r="M561" i="1" a="1"/>
  <c r="M561" i="1" s="1"/>
  <c r="N561" i="1" a="1"/>
  <c r="N561" i="1" s="1"/>
  <c r="M557" i="1" a="1"/>
  <c r="M557" i="1" s="1"/>
  <c r="N557" i="1" a="1"/>
  <c r="N557" i="1" s="1"/>
  <c r="M553" i="1" a="1"/>
  <c r="M553" i="1" s="1"/>
  <c r="N553" i="1" a="1"/>
  <c r="N553" i="1" s="1"/>
  <c r="M549" i="1" a="1"/>
  <c r="M549" i="1" s="1"/>
  <c r="N549" i="1" a="1"/>
  <c r="N549" i="1" s="1"/>
  <c r="M542" i="1" a="1"/>
  <c r="M542" i="1" s="1"/>
  <c r="N542" i="1" a="1"/>
  <c r="N542" i="1" s="1"/>
  <c r="M514" i="1" a="1"/>
  <c r="M514" i="1" s="1"/>
  <c r="N514" i="1" a="1"/>
  <c r="N514" i="1" s="1"/>
  <c r="M510" i="1" a="1"/>
  <c r="M510" i="1" s="1"/>
  <c r="N510" i="1" a="1"/>
  <c r="N510" i="1" s="1"/>
  <c r="M503" i="1" a="1"/>
  <c r="M503" i="1" s="1"/>
  <c r="N503" i="1" a="1"/>
  <c r="N503" i="1" s="1"/>
  <c r="N499" i="1" a="1"/>
  <c r="N499" i="1" s="1"/>
  <c r="M499" i="1" a="1"/>
  <c r="M499" i="1" s="1"/>
  <c r="M495" i="1" a="1"/>
  <c r="M495" i="1" s="1"/>
  <c r="N495" i="1" a="1"/>
  <c r="N495" i="1" s="1"/>
  <c r="M491" i="1" a="1"/>
  <c r="M491" i="1" s="1"/>
  <c r="N491" i="1" a="1"/>
  <c r="N491" i="1" s="1"/>
  <c r="M487" i="1" a="1"/>
  <c r="M487" i="1" s="1"/>
  <c r="N487" i="1" a="1"/>
  <c r="N487" i="1" s="1"/>
  <c r="M483" i="1" a="1"/>
  <c r="M483" i="1" s="1"/>
  <c r="N483" i="1" a="1"/>
  <c r="N483" i="1" s="1"/>
  <c r="M475" i="1" a="1"/>
  <c r="M475" i="1" s="1"/>
  <c r="N475" i="1" a="1"/>
  <c r="N475" i="1" s="1"/>
  <c r="M469" i="1" a="1"/>
  <c r="M469" i="1" s="1"/>
  <c r="N469" i="1" a="1"/>
  <c r="N469" i="1" s="1"/>
  <c r="M465" i="1" a="1"/>
  <c r="M465" i="1" s="1"/>
  <c r="N465" i="1" a="1"/>
  <c r="N465" i="1" s="1"/>
  <c r="M462" i="1" a="1"/>
  <c r="M462" i="1" s="1"/>
  <c r="N462" i="1" a="1"/>
  <c r="N462" i="1" s="1"/>
  <c r="M458" i="1" a="1"/>
  <c r="M458" i="1" s="1"/>
  <c r="N458" i="1" a="1"/>
  <c r="N458" i="1" s="1"/>
  <c r="M448" i="1" a="1"/>
  <c r="M448" i="1" s="1"/>
  <c r="N448" i="1" a="1"/>
  <c r="N448" i="1" s="1"/>
  <c r="M438" i="1" a="1"/>
  <c r="M438" i="1" s="1"/>
  <c r="N438" i="1" a="1"/>
  <c r="N438" i="1" s="1"/>
  <c r="M434" i="1" a="1"/>
  <c r="M434" i="1" s="1"/>
  <c r="N434" i="1" a="1"/>
  <c r="N434" i="1" s="1"/>
  <c r="M430" i="1" a="1"/>
  <c r="M430" i="1" s="1"/>
  <c r="N430" i="1" a="1"/>
  <c r="N430" i="1" s="1"/>
  <c r="M426" i="1" a="1"/>
  <c r="M426" i="1" s="1"/>
  <c r="N426" i="1" a="1"/>
  <c r="N426" i="1" s="1"/>
  <c r="M410" i="1" a="1"/>
  <c r="M410" i="1" s="1"/>
  <c r="N410" i="1" a="1"/>
  <c r="N410" i="1" s="1"/>
  <c r="M367" i="1" a="1"/>
  <c r="M367" i="1" s="1"/>
  <c r="N367" i="1" a="1"/>
  <c r="N367" i="1" s="1"/>
  <c r="M364" i="1" a="1"/>
  <c r="M364" i="1" s="1"/>
  <c r="N364" i="1" a="1"/>
  <c r="N364" i="1" s="1"/>
  <c r="M360" i="1" a="1"/>
  <c r="M360" i="1" s="1"/>
  <c r="N360" i="1" a="1"/>
  <c r="N360" i="1" s="1"/>
  <c r="M357" i="1" a="1"/>
  <c r="M357" i="1" s="1"/>
  <c r="N357" i="1" a="1"/>
  <c r="N357" i="1" s="1"/>
  <c r="M354" i="1" a="1"/>
  <c r="M354" i="1" s="1"/>
  <c r="N354" i="1" a="1"/>
  <c r="N354" i="1" s="1"/>
  <c r="M350" i="1" a="1"/>
  <c r="M350" i="1" s="1"/>
  <c r="N350" i="1" a="1"/>
  <c r="N350" i="1" s="1"/>
  <c r="M347" i="1" a="1"/>
  <c r="M347" i="1" s="1"/>
  <c r="N347" i="1" a="1"/>
  <c r="N347" i="1" s="1"/>
  <c r="M343" i="1" a="1"/>
  <c r="M343" i="1" s="1"/>
  <c r="N343" i="1" a="1"/>
  <c r="N343" i="1" s="1"/>
  <c r="M312" i="1" a="1"/>
  <c r="M312" i="1" s="1"/>
  <c r="N312" i="1" a="1"/>
  <c r="N312" i="1" s="1"/>
  <c r="M309" i="1" a="1"/>
  <c r="M309" i="1" s="1"/>
  <c r="N309" i="1" a="1"/>
  <c r="N309" i="1" s="1"/>
  <c r="M306" i="1" a="1"/>
  <c r="M306" i="1" s="1"/>
  <c r="N306" i="1" a="1"/>
  <c r="N306" i="1" s="1"/>
  <c r="M275" i="1" a="1"/>
  <c r="M275" i="1" s="1"/>
  <c r="N275" i="1" a="1"/>
  <c r="N275" i="1" s="1"/>
  <c r="M271" i="1" a="1"/>
  <c r="M271" i="1" s="1"/>
  <c r="N271" i="1" a="1"/>
  <c r="N271" i="1" s="1"/>
  <c r="M268" i="1" a="1"/>
  <c r="M268" i="1" s="1"/>
  <c r="N268" i="1" a="1"/>
  <c r="N268" i="1" s="1"/>
  <c r="M264" i="1" a="1"/>
  <c r="M264" i="1" s="1"/>
  <c r="N264" i="1" a="1"/>
  <c r="N264" i="1" s="1"/>
  <c r="M261" i="1" a="1"/>
  <c r="M261" i="1" s="1"/>
  <c r="N261" i="1" a="1"/>
  <c r="N261" i="1" s="1"/>
  <c r="M257" i="1" a="1"/>
  <c r="M257" i="1" s="1"/>
  <c r="N257" i="1" a="1"/>
  <c r="N257" i="1" s="1"/>
  <c r="M254" i="1" a="1"/>
  <c r="M254" i="1" s="1"/>
  <c r="N254" i="1" a="1"/>
  <c r="N254" i="1" s="1"/>
  <c r="M251" i="1" a="1"/>
  <c r="M251" i="1" s="1"/>
  <c r="N251" i="1" a="1"/>
  <c r="N251" i="1" s="1"/>
  <c r="M248" i="1" a="1"/>
  <c r="M248" i="1" s="1"/>
  <c r="N248" i="1" a="1"/>
  <c r="N248" i="1" s="1"/>
  <c r="M245" i="1" a="1"/>
  <c r="M245" i="1" s="1"/>
  <c r="N245" i="1" a="1"/>
  <c r="N245" i="1" s="1"/>
  <c r="M202" i="1" a="1"/>
  <c r="M202" i="1" s="1"/>
  <c r="N202" i="1" a="1"/>
  <c r="N202" i="1" s="1"/>
  <c r="M198" i="1" a="1"/>
  <c r="M198" i="1" s="1"/>
  <c r="N198" i="1" a="1"/>
  <c r="N198" i="1" s="1"/>
  <c r="M187" i="1" a="1"/>
  <c r="M187" i="1" s="1"/>
  <c r="N187" i="1" a="1"/>
  <c r="N187" i="1" s="1"/>
  <c r="M183" i="1" a="1"/>
  <c r="M183" i="1" s="1"/>
  <c r="N183" i="1" a="1"/>
  <c r="N183" i="1" s="1"/>
  <c r="M179" i="1" a="1"/>
  <c r="M179" i="1" s="1"/>
  <c r="N179" i="1" a="1"/>
  <c r="N179" i="1" s="1"/>
  <c r="M176" i="1" a="1"/>
  <c r="M176" i="1" s="1"/>
  <c r="N176" i="1" a="1"/>
  <c r="N176" i="1" s="1"/>
  <c r="M172" i="1" a="1"/>
  <c r="M172" i="1" s="1"/>
  <c r="N172" i="1" a="1"/>
  <c r="N172" i="1" s="1"/>
  <c r="M154" i="1" a="1"/>
  <c r="M154" i="1" s="1"/>
  <c r="N154" i="1" a="1"/>
  <c r="N154" i="1" s="1"/>
  <c r="M146" i="1" a="1"/>
  <c r="M146" i="1" s="1"/>
  <c r="N146" i="1" a="1"/>
  <c r="N146" i="1" s="1"/>
  <c r="M142" i="1" a="1"/>
  <c r="M142" i="1" s="1"/>
  <c r="N142" i="1" a="1"/>
  <c r="N142" i="1" s="1"/>
  <c r="M76" i="1" a="1"/>
  <c r="M76" i="1" s="1"/>
  <c r="N76" i="1" a="1"/>
  <c r="N76" i="1" s="1"/>
  <c r="M72" i="1" a="1"/>
  <c r="M72" i="1" s="1"/>
  <c r="N72" i="1" a="1"/>
  <c r="N72" i="1" s="1"/>
  <c r="M68" i="1" a="1"/>
  <c r="M68" i="1" s="1"/>
  <c r="N68" i="1" a="1"/>
  <c r="N68" i="1" s="1"/>
  <c r="M65" i="1" a="1"/>
  <c r="M65" i="1" s="1"/>
  <c r="N65" i="1" a="1"/>
  <c r="N65" i="1" s="1"/>
  <c r="M61" i="1" a="1"/>
  <c r="M61" i="1" s="1"/>
  <c r="N61" i="1" a="1"/>
  <c r="N61" i="1" s="1"/>
  <c r="M415" i="1" a="1"/>
  <c r="M415" i="1" s="1"/>
  <c r="N797" i="1" a="1"/>
  <c r="N797" i="1" s="1"/>
  <c r="N765" i="1" a="1"/>
  <c r="N765" i="1" s="1"/>
  <c r="N733" i="1" a="1"/>
  <c r="N733" i="1" s="1"/>
  <c r="N701" i="1" a="1"/>
  <c r="N701" i="1" s="1"/>
  <c r="N671" i="1" a="1"/>
  <c r="N671" i="1" s="1"/>
  <c r="N594" i="1" a="1"/>
  <c r="N594" i="1" s="1"/>
  <c r="N543" i="1" a="1"/>
  <c r="N543" i="1" s="1"/>
  <c r="N505" i="1" a="1"/>
  <c r="N505" i="1" s="1"/>
  <c r="N472" i="1" a="1"/>
  <c r="N472" i="1" s="1"/>
  <c r="N452" i="1" a="1"/>
  <c r="N452" i="1" s="1"/>
  <c r="N196" i="1" a="1"/>
  <c r="N196" i="1" s="1"/>
  <c r="M2" i="1" a="1"/>
  <c r="M2" i="1" s="1"/>
  <c r="N2" i="1" a="1"/>
  <c r="N2" i="1" s="1"/>
  <c r="N798" i="1" a="1"/>
  <c r="N798" i="1" s="1"/>
  <c r="M798" i="1" a="1"/>
  <c r="M798" i="1" s="1"/>
  <c r="M794" i="1" a="1"/>
  <c r="M794" i="1" s="1"/>
  <c r="N794" i="1" a="1"/>
  <c r="N794" i="1" s="1"/>
  <c r="N790" i="1" a="1"/>
  <c r="N790" i="1" s="1"/>
  <c r="M790" i="1" a="1"/>
  <c r="M790" i="1" s="1"/>
  <c r="M786" i="1" a="1"/>
  <c r="M786" i="1" s="1"/>
  <c r="N786" i="1" a="1"/>
  <c r="N786" i="1" s="1"/>
  <c r="N782" i="1" a="1"/>
  <c r="N782" i="1" s="1"/>
  <c r="M782" i="1" a="1"/>
  <c r="M782" i="1" s="1"/>
  <c r="M778" i="1" a="1"/>
  <c r="M778" i="1" s="1"/>
  <c r="N778" i="1" a="1"/>
  <c r="N778" i="1" s="1"/>
  <c r="N774" i="1" a="1"/>
  <c r="N774" i="1" s="1"/>
  <c r="M774" i="1" a="1"/>
  <c r="M774" i="1" s="1"/>
  <c r="M770" i="1" a="1"/>
  <c r="M770" i="1" s="1"/>
  <c r="N770" i="1" a="1"/>
  <c r="N770" i="1" s="1"/>
  <c r="N766" i="1" a="1"/>
  <c r="N766" i="1" s="1"/>
  <c r="M766" i="1" a="1"/>
  <c r="M766" i="1" s="1"/>
  <c r="M762" i="1" a="1"/>
  <c r="M762" i="1" s="1"/>
  <c r="N762" i="1" a="1"/>
  <c r="N762" i="1" s="1"/>
  <c r="M754" i="1" a="1"/>
  <c r="M754" i="1" s="1"/>
  <c r="N754" i="1" a="1"/>
  <c r="N754" i="1" s="1"/>
  <c r="N750" i="1" a="1"/>
  <c r="N750" i="1" s="1"/>
  <c r="M750" i="1" a="1"/>
  <c r="M750" i="1" s="1"/>
  <c r="M746" i="1" a="1"/>
  <c r="M746" i="1" s="1"/>
  <c r="N746" i="1" a="1"/>
  <c r="N746" i="1" s="1"/>
  <c r="N742" i="1" a="1"/>
  <c r="N742" i="1" s="1"/>
  <c r="M742" i="1" a="1"/>
  <c r="M742" i="1" s="1"/>
  <c r="M738" i="1" a="1"/>
  <c r="M738" i="1" s="1"/>
  <c r="N738" i="1" a="1"/>
  <c r="N738" i="1" s="1"/>
  <c r="N734" i="1" a="1"/>
  <c r="N734" i="1" s="1"/>
  <c r="M734" i="1" a="1"/>
  <c r="M734" i="1" s="1"/>
  <c r="M730" i="1" a="1"/>
  <c r="M730" i="1" s="1"/>
  <c r="N730" i="1" a="1"/>
  <c r="N730" i="1" s="1"/>
  <c r="N726" i="1" a="1"/>
  <c r="N726" i="1" s="1"/>
  <c r="M726" i="1" a="1"/>
  <c r="M726" i="1" s="1"/>
  <c r="M722" i="1" a="1"/>
  <c r="M722" i="1" s="1"/>
  <c r="N722" i="1" a="1"/>
  <c r="N722" i="1" s="1"/>
  <c r="N718" i="1" a="1"/>
  <c r="N718" i="1" s="1"/>
  <c r="M718" i="1" a="1"/>
  <c r="M718" i="1" s="1"/>
  <c r="M714" i="1" a="1"/>
  <c r="M714" i="1" s="1"/>
  <c r="N714" i="1" a="1"/>
  <c r="N714" i="1" s="1"/>
  <c r="N710" i="1" a="1"/>
  <c r="N710" i="1" s="1"/>
  <c r="M710" i="1" a="1"/>
  <c r="M710" i="1" s="1"/>
  <c r="M706" i="1" a="1"/>
  <c r="M706" i="1" s="1"/>
  <c r="N706" i="1" a="1"/>
  <c r="N706" i="1" s="1"/>
  <c r="N702" i="1" a="1"/>
  <c r="N702" i="1" s="1"/>
  <c r="M702" i="1" a="1"/>
  <c r="M702" i="1" s="1"/>
  <c r="M698" i="1" a="1"/>
  <c r="M698" i="1" s="1"/>
  <c r="N698" i="1" a="1"/>
  <c r="N698" i="1" s="1"/>
  <c r="M690" i="1" a="1"/>
  <c r="M690" i="1" s="1"/>
  <c r="N690" i="1" a="1"/>
  <c r="N690" i="1" s="1"/>
  <c r="N686" i="1" a="1"/>
  <c r="N686" i="1" s="1"/>
  <c r="M686" i="1" a="1"/>
  <c r="M686" i="1" s="1"/>
  <c r="M682" i="1" a="1"/>
  <c r="M682" i="1" s="1"/>
  <c r="N682" i="1" a="1"/>
  <c r="N682" i="1" s="1"/>
  <c r="M678" i="1" a="1"/>
  <c r="M678" i="1" s="1"/>
  <c r="N678" i="1" a="1"/>
  <c r="N678" i="1" s="1"/>
  <c r="M674" i="1" a="1"/>
  <c r="M674" i="1" s="1"/>
  <c r="N674" i="1" a="1"/>
  <c r="N674" i="1" s="1"/>
  <c r="M667" i="1" a="1"/>
  <c r="M667" i="1" s="1"/>
  <c r="N667" i="1" a="1"/>
  <c r="N667" i="1" s="1"/>
  <c r="M664" i="1" a="1"/>
  <c r="M664" i="1" s="1"/>
  <c r="N664" i="1" a="1"/>
  <c r="N664" i="1" s="1"/>
  <c r="M604" i="1" a="1"/>
  <c r="M604" i="1" s="1"/>
  <c r="N604" i="1" a="1"/>
  <c r="N604" i="1" s="1"/>
  <c r="M597" i="1" a="1"/>
  <c r="M597" i="1" s="1"/>
  <c r="N597" i="1" a="1"/>
  <c r="N597" i="1" s="1"/>
  <c r="M590" i="1" a="1"/>
  <c r="M590" i="1" s="1"/>
  <c r="N590" i="1" a="1"/>
  <c r="N590" i="1" s="1"/>
  <c r="M587" i="1" a="1"/>
  <c r="M587" i="1" s="1"/>
  <c r="N587" i="1" a="1"/>
  <c r="N587" i="1" s="1"/>
  <c r="M583" i="1" a="1"/>
  <c r="M583" i="1" s="1"/>
  <c r="N583" i="1" a="1"/>
  <c r="N583" i="1" s="1"/>
  <c r="M579" i="1" a="1"/>
  <c r="M579" i="1" s="1"/>
  <c r="N579" i="1" a="1"/>
  <c r="N579" i="1" s="1"/>
  <c r="M576" i="1" a="1"/>
  <c r="M576" i="1" s="1"/>
  <c r="N576" i="1" a="1"/>
  <c r="N576" i="1" s="1"/>
  <c r="M572" i="1" a="1"/>
  <c r="M572" i="1" s="1"/>
  <c r="N572" i="1" a="1"/>
  <c r="N572" i="1" s="1"/>
  <c r="N566" i="1" a="1"/>
  <c r="N566" i="1" s="1"/>
  <c r="M566" i="1" a="1"/>
  <c r="M566" i="1" s="1"/>
  <c r="M560" i="1" a="1"/>
  <c r="M560" i="1" s="1"/>
  <c r="N560" i="1" a="1"/>
  <c r="N560" i="1" s="1"/>
  <c r="M520" i="1" a="1"/>
  <c r="M520" i="1" s="1"/>
  <c r="N520" i="1" a="1"/>
  <c r="N520" i="1" s="1"/>
  <c r="M516" i="1" a="1"/>
  <c r="M516" i="1" s="1"/>
  <c r="N516" i="1" a="1"/>
  <c r="N516" i="1" s="1"/>
  <c r="M513" i="1" a="1"/>
  <c r="M513" i="1" s="1"/>
  <c r="N513" i="1" a="1"/>
  <c r="N513" i="1" s="1"/>
  <c r="M509" i="1" a="1"/>
  <c r="M509" i="1" s="1"/>
  <c r="N509" i="1" a="1"/>
  <c r="N509" i="1" s="1"/>
  <c r="M502" i="1" a="1"/>
  <c r="M502" i="1" s="1"/>
  <c r="N502" i="1" a="1"/>
  <c r="N502" i="1" s="1"/>
  <c r="M494" i="1" a="1"/>
  <c r="M494" i="1" s="1"/>
  <c r="N494" i="1" a="1"/>
  <c r="N494" i="1" s="1"/>
  <c r="M490" i="1" a="1"/>
  <c r="M490" i="1" s="1"/>
  <c r="N490" i="1" a="1"/>
  <c r="N490" i="1" s="1"/>
  <c r="M409" i="1" a="1"/>
  <c r="M409" i="1" s="1"/>
  <c r="N409" i="1" a="1"/>
  <c r="N409" i="1" s="1"/>
  <c r="M401" i="1" a="1"/>
  <c r="M401" i="1" s="1"/>
  <c r="N401" i="1" a="1"/>
  <c r="N401" i="1" s="1"/>
  <c r="M398" i="1" a="1"/>
  <c r="M398" i="1" s="1"/>
  <c r="N398" i="1" a="1"/>
  <c r="N398" i="1" s="1"/>
  <c r="M394" i="1" a="1"/>
  <c r="M394" i="1" s="1"/>
  <c r="N394" i="1" a="1"/>
  <c r="N394" i="1" s="1"/>
  <c r="M391" i="1" a="1"/>
  <c r="M391" i="1" s="1"/>
  <c r="N391" i="1" a="1"/>
  <c r="N391" i="1" s="1"/>
  <c r="M387" i="1" a="1"/>
  <c r="M387" i="1" s="1"/>
  <c r="N387" i="1" a="1"/>
  <c r="N387" i="1" s="1"/>
  <c r="M379" i="1" a="1"/>
  <c r="M379" i="1" s="1"/>
  <c r="N379" i="1" a="1"/>
  <c r="N379" i="1" s="1"/>
  <c r="M376" i="1" a="1"/>
  <c r="M376" i="1" s="1"/>
  <c r="N376" i="1" a="1"/>
  <c r="N376" i="1" s="1"/>
  <c r="M370" i="1" a="1"/>
  <c r="M370" i="1" s="1"/>
  <c r="N370" i="1" a="1"/>
  <c r="N370" i="1" s="1"/>
  <c r="M366" i="1" a="1"/>
  <c r="M366" i="1" s="1"/>
  <c r="N366" i="1" a="1"/>
  <c r="N366" i="1" s="1"/>
  <c r="M363" i="1" a="1"/>
  <c r="M363" i="1" s="1"/>
  <c r="N363" i="1" a="1"/>
  <c r="N363" i="1" s="1"/>
  <c r="M359" i="1" a="1"/>
  <c r="M359" i="1" s="1"/>
  <c r="N359" i="1" a="1"/>
  <c r="N359" i="1" s="1"/>
  <c r="M353" i="1" a="1"/>
  <c r="M353" i="1" s="1"/>
  <c r="N353" i="1" a="1"/>
  <c r="N353" i="1" s="1"/>
  <c r="M301" i="1" a="1"/>
  <c r="M301" i="1" s="1"/>
  <c r="N301" i="1" a="1"/>
  <c r="N301" i="1" s="1"/>
  <c r="M285" i="1" a="1"/>
  <c r="M285" i="1" s="1"/>
  <c r="N285" i="1" a="1"/>
  <c r="N285" i="1" s="1"/>
  <c r="M281" i="1" a="1"/>
  <c r="M281" i="1" s="1"/>
  <c r="N281" i="1" a="1"/>
  <c r="N281" i="1" s="1"/>
  <c r="M278" i="1" a="1"/>
  <c r="M278" i="1" s="1"/>
  <c r="N278" i="1" a="1"/>
  <c r="N278" i="1" s="1"/>
  <c r="M232" i="1" a="1"/>
  <c r="M232" i="1" s="1"/>
  <c r="N232" i="1" a="1"/>
  <c r="N232" i="1" s="1"/>
  <c r="M216" i="1" a="1"/>
  <c r="M216" i="1" s="1"/>
  <c r="N216" i="1" a="1"/>
  <c r="N216" i="1" s="1"/>
  <c r="M212" i="1" a="1"/>
  <c r="M212" i="1" s="1"/>
  <c r="N212" i="1" a="1"/>
  <c r="N212" i="1" s="1"/>
  <c r="M208" i="1" a="1"/>
  <c r="M208" i="1" s="1"/>
  <c r="N208" i="1" a="1"/>
  <c r="N208" i="1" s="1"/>
  <c r="M205" i="1" a="1"/>
  <c r="M205" i="1" s="1"/>
  <c r="N205" i="1" a="1"/>
  <c r="N205" i="1" s="1"/>
  <c r="M194" i="1" a="1"/>
  <c r="M194" i="1" s="1"/>
  <c r="N194" i="1" a="1"/>
  <c r="N194" i="1" s="1"/>
  <c r="M190" i="1" a="1"/>
  <c r="M190" i="1" s="1"/>
  <c r="N190" i="1" a="1"/>
  <c r="N190" i="1" s="1"/>
  <c r="M153" i="1" a="1"/>
  <c r="M153" i="1" s="1"/>
  <c r="N153" i="1" a="1"/>
  <c r="N153" i="1" s="1"/>
  <c r="M149" i="1" a="1"/>
  <c r="M149" i="1" s="1"/>
  <c r="N149" i="1" a="1"/>
  <c r="N149" i="1" s="1"/>
  <c r="M122" i="1" a="1"/>
  <c r="M122" i="1" s="1"/>
  <c r="N122" i="1" a="1"/>
  <c r="N122" i="1" s="1"/>
  <c r="M90" i="1" a="1"/>
  <c r="M90" i="1" s="1"/>
  <c r="N90" i="1" a="1"/>
  <c r="N90" i="1" s="1"/>
  <c r="M86" i="1" a="1"/>
  <c r="M86" i="1" s="1"/>
  <c r="N86" i="1" a="1"/>
  <c r="N86" i="1" s="1"/>
  <c r="M82" i="1" a="1"/>
  <c r="M82" i="1" s="1"/>
  <c r="N82" i="1" a="1"/>
  <c r="N82" i="1" s="1"/>
  <c r="M79" i="1" a="1"/>
  <c r="M79" i="1" s="1"/>
  <c r="N79" i="1" a="1"/>
  <c r="N79" i="1" s="1"/>
  <c r="M758" i="1" a="1"/>
  <c r="M758" i="1" s="1"/>
  <c r="N789" i="1" a="1"/>
  <c r="N789" i="1" s="1"/>
  <c r="N757" i="1" a="1"/>
  <c r="N757" i="1" s="1"/>
  <c r="N725" i="1" a="1"/>
  <c r="N725" i="1" s="1"/>
  <c r="N693" i="1" a="1"/>
  <c r="N693" i="1" s="1"/>
  <c r="N665" i="1" a="1"/>
  <c r="N665" i="1" s="1"/>
  <c r="N588" i="1" a="1"/>
  <c r="N588" i="1" s="1"/>
  <c r="N445" i="1" a="1"/>
  <c r="N445" i="1" s="1"/>
  <c r="N405" i="1" a="1"/>
  <c r="N405" i="1" s="1"/>
  <c r="N332" i="1" a="1"/>
  <c r="N332" i="1" s="1"/>
  <c r="M801" i="1" a="1"/>
  <c r="M801" i="1" s="1"/>
  <c r="N801" i="1" a="1"/>
  <c r="N801" i="1" s="1"/>
  <c r="M793" i="1" a="1"/>
  <c r="M793" i="1" s="1"/>
  <c r="N793" i="1" a="1"/>
  <c r="N793" i="1" s="1"/>
  <c r="M785" i="1" a="1"/>
  <c r="M785" i="1" s="1"/>
  <c r="N785" i="1" a="1"/>
  <c r="N785" i="1" s="1"/>
  <c r="M777" i="1" a="1"/>
  <c r="M777" i="1" s="1"/>
  <c r="N777" i="1" a="1"/>
  <c r="N777" i="1" s="1"/>
  <c r="M769" i="1" a="1"/>
  <c r="M769" i="1" s="1"/>
  <c r="N769" i="1" a="1"/>
  <c r="N769" i="1" s="1"/>
  <c r="M761" i="1" a="1"/>
  <c r="M761" i="1" s="1"/>
  <c r="N761" i="1" a="1"/>
  <c r="N761" i="1" s="1"/>
  <c r="M753" i="1" a="1"/>
  <c r="M753" i="1" s="1"/>
  <c r="N753" i="1" a="1"/>
  <c r="N753" i="1" s="1"/>
  <c r="M745" i="1" a="1"/>
  <c r="M745" i="1" s="1"/>
  <c r="N745" i="1" a="1"/>
  <c r="N745" i="1" s="1"/>
  <c r="M737" i="1" a="1"/>
  <c r="M737" i="1" s="1"/>
  <c r="N737" i="1" a="1"/>
  <c r="N737" i="1" s="1"/>
  <c r="M729" i="1" a="1"/>
  <c r="M729" i="1" s="1"/>
  <c r="N729" i="1" a="1"/>
  <c r="N729" i="1" s="1"/>
  <c r="M721" i="1" a="1"/>
  <c r="M721" i="1" s="1"/>
  <c r="N721" i="1" a="1"/>
  <c r="N721" i="1" s="1"/>
  <c r="M713" i="1" a="1"/>
  <c r="M713" i="1" s="1"/>
  <c r="N713" i="1" a="1"/>
  <c r="N713" i="1" s="1"/>
  <c r="M705" i="1" a="1"/>
  <c r="M705" i="1" s="1"/>
  <c r="N705" i="1" a="1"/>
  <c r="N705" i="1" s="1"/>
  <c r="M697" i="1" a="1"/>
  <c r="M697" i="1" s="1"/>
  <c r="N697" i="1" a="1"/>
  <c r="N697" i="1" s="1"/>
  <c r="M689" i="1" a="1"/>
  <c r="M689" i="1" s="1"/>
  <c r="N689" i="1" a="1"/>
  <c r="N689" i="1" s="1"/>
  <c r="M681" i="1" a="1"/>
  <c r="M681" i="1" s="1"/>
  <c r="N681" i="1" a="1"/>
  <c r="N681" i="1" s="1"/>
  <c r="M677" i="1" a="1"/>
  <c r="M677" i="1" s="1"/>
  <c r="N677" i="1" a="1"/>
  <c r="N677" i="1" s="1"/>
  <c r="M670" i="1" a="1"/>
  <c r="M670" i="1" s="1"/>
  <c r="N670" i="1" a="1"/>
  <c r="N670" i="1" s="1"/>
  <c r="M622" i="1" a="1"/>
  <c r="M622" i="1" s="1"/>
  <c r="N622" i="1" a="1"/>
  <c r="N622" i="1" s="1"/>
  <c r="M618" i="1" a="1"/>
  <c r="M618" i="1" s="1"/>
  <c r="N618" i="1" a="1"/>
  <c r="N618" i="1" s="1"/>
  <c r="M614" i="1" a="1"/>
  <c r="M614" i="1" s="1"/>
  <c r="N614" i="1" a="1"/>
  <c r="N614" i="1" s="1"/>
  <c r="M603" i="1" a="1"/>
  <c r="M603" i="1" s="1"/>
  <c r="N603" i="1" a="1"/>
  <c r="N603" i="1" s="1"/>
  <c r="M600" i="1" a="1"/>
  <c r="M600" i="1" s="1"/>
  <c r="N600" i="1" a="1"/>
  <c r="N600" i="1" s="1"/>
  <c r="M540" i="1" a="1"/>
  <c r="M540" i="1" s="1"/>
  <c r="N540" i="1" a="1"/>
  <c r="N540" i="1" s="1"/>
  <c r="M533" i="1" a="1"/>
  <c r="M533" i="1" s="1"/>
  <c r="N533" i="1" a="1"/>
  <c r="N533" i="1" s="1"/>
  <c r="M529" i="1" a="1"/>
  <c r="M529" i="1" s="1"/>
  <c r="N529" i="1" a="1"/>
  <c r="N529" i="1" s="1"/>
  <c r="M526" i="1" a="1"/>
  <c r="M526" i="1" s="1"/>
  <c r="N526" i="1" a="1"/>
  <c r="N526" i="1" s="1"/>
  <c r="M519" i="1" a="1"/>
  <c r="M519" i="1" s="1"/>
  <c r="N519" i="1" a="1"/>
  <c r="N519" i="1" s="1"/>
  <c r="M424" i="1" a="1"/>
  <c r="M424" i="1" s="1"/>
  <c r="N424" i="1" a="1"/>
  <c r="N424" i="1" s="1"/>
  <c r="M420" i="1" a="1"/>
  <c r="M420" i="1" s="1"/>
  <c r="N420" i="1" a="1"/>
  <c r="N420" i="1" s="1"/>
  <c r="M416" i="1" a="1"/>
  <c r="M416" i="1" s="1"/>
  <c r="N416" i="1" a="1"/>
  <c r="N416" i="1" s="1"/>
  <c r="M412" i="1" a="1"/>
  <c r="M412" i="1" s="1"/>
  <c r="N412" i="1" a="1"/>
  <c r="N412" i="1" s="1"/>
  <c r="M408" i="1" a="1"/>
  <c r="M408" i="1" s="1"/>
  <c r="N408" i="1" a="1"/>
  <c r="N408" i="1" s="1"/>
  <c r="M404" i="1" a="1"/>
  <c r="M404" i="1" s="1"/>
  <c r="N404" i="1" a="1"/>
  <c r="N404" i="1" s="1"/>
  <c r="M400" i="1" a="1"/>
  <c r="M400" i="1" s="1"/>
  <c r="N400" i="1" a="1"/>
  <c r="N400" i="1" s="1"/>
  <c r="M397" i="1" a="1"/>
  <c r="M397" i="1" s="1"/>
  <c r="N397" i="1" a="1"/>
  <c r="N397" i="1" s="1"/>
  <c r="M393" i="1" a="1"/>
  <c r="M393" i="1" s="1"/>
  <c r="N393" i="1" a="1"/>
  <c r="N393" i="1" s="1"/>
  <c r="N390" i="1" a="1"/>
  <c r="N390" i="1" s="1"/>
  <c r="M390" i="1" a="1"/>
  <c r="M390" i="1" s="1"/>
  <c r="M386" i="1" a="1"/>
  <c r="M386" i="1" s="1"/>
  <c r="N386" i="1" a="1"/>
  <c r="N386" i="1" s="1"/>
  <c r="M382" i="1" a="1"/>
  <c r="M382" i="1" s="1"/>
  <c r="N382" i="1" a="1"/>
  <c r="N382" i="1" s="1"/>
  <c r="M378" i="1" a="1"/>
  <c r="M378" i="1" s="1"/>
  <c r="N378" i="1" a="1"/>
  <c r="N378" i="1" s="1"/>
  <c r="M375" i="1" a="1"/>
  <c r="M375" i="1" s="1"/>
  <c r="N375" i="1" a="1"/>
  <c r="N375" i="1" s="1"/>
  <c r="M369" i="1" a="1"/>
  <c r="M369" i="1" s="1"/>
  <c r="N369" i="1" a="1"/>
  <c r="N369" i="1" s="1"/>
  <c r="N335" i="1" a="1"/>
  <c r="N335" i="1" s="1"/>
  <c r="M335" i="1" a="1"/>
  <c r="M335" i="1" s="1"/>
  <c r="M328" i="1" a="1"/>
  <c r="M328" i="1" s="1"/>
  <c r="N328" i="1" a="1"/>
  <c r="N328" i="1" s="1"/>
  <c r="M325" i="1" a="1"/>
  <c r="M325" i="1" s="1"/>
  <c r="N325" i="1" a="1"/>
  <c r="N325" i="1" s="1"/>
  <c r="M322" i="1" a="1"/>
  <c r="M322" i="1" s="1"/>
  <c r="N322" i="1" a="1"/>
  <c r="N322" i="1" s="1"/>
  <c r="M300" i="1" a="1"/>
  <c r="M300" i="1" s="1"/>
  <c r="N300" i="1" a="1"/>
  <c r="N300" i="1" s="1"/>
  <c r="M296" i="1" a="1"/>
  <c r="M296" i="1" s="1"/>
  <c r="N296" i="1" a="1"/>
  <c r="N296" i="1" s="1"/>
  <c r="M292" i="1" a="1"/>
  <c r="M292" i="1" s="1"/>
  <c r="N292" i="1" a="1"/>
  <c r="N292" i="1" s="1"/>
  <c r="M288" i="1" a="1"/>
  <c r="M288" i="1" s="1"/>
  <c r="N288" i="1" a="1"/>
  <c r="N288" i="1" s="1"/>
  <c r="M231" i="1" a="1"/>
  <c r="M231" i="1" s="1"/>
  <c r="N231" i="1" a="1"/>
  <c r="N231" i="1" s="1"/>
  <c r="M227" i="1" a="1"/>
  <c r="M227" i="1" s="1"/>
  <c r="N227" i="1" a="1"/>
  <c r="N227" i="1" s="1"/>
  <c r="M223" i="1" a="1"/>
  <c r="M223" i="1" s="1"/>
  <c r="N223" i="1" a="1"/>
  <c r="N223" i="1" s="1"/>
  <c r="M219" i="1" a="1"/>
  <c r="M219" i="1" s="1"/>
  <c r="N219" i="1" a="1"/>
  <c r="N219" i="1" s="1"/>
  <c r="M193" i="1" a="1"/>
  <c r="M193" i="1" s="1"/>
  <c r="N193" i="1" a="1"/>
  <c r="N193" i="1" s="1"/>
  <c r="M156" i="1" a="1"/>
  <c r="M156" i="1" s="1"/>
  <c r="N156" i="1" a="1"/>
  <c r="N156" i="1" s="1"/>
  <c r="M140" i="1" a="1"/>
  <c r="M140" i="1" s="1"/>
  <c r="N140" i="1" a="1"/>
  <c r="N140" i="1" s="1"/>
  <c r="M121" i="1" a="1"/>
  <c r="M121" i="1" s="1"/>
  <c r="N121" i="1" a="1"/>
  <c r="N121" i="1" s="1"/>
  <c r="M117" i="1" a="1"/>
  <c r="M117" i="1" s="1"/>
  <c r="N117" i="1" a="1"/>
  <c r="N117" i="1" s="1"/>
  <c r="M113" i="1" a="1"/>
  <c r="M113" i="1" s="1"/>
  <c r="N113" i="1" a="1"/>
  <c r="N113" i="1" s="1"/>
  <c r="M109" i="1" a="1"/>
  <c r="M109" i="1" s="1"/>
  <c r="N109" i="1" a="1"/>
  <c r="N109" i="1" s="1"/>
  <c r="M106" i="1" a="1"/>
  <c r="M106" i="1" s="1"/>
  <c r="N106" i="1" a="1"/>
  <c r="N106" i="1" s="1"/>
  <c r="N103" i="1" a="1"/>
  <c r="N103" i="1" s="1"/>
  <c r="M103" i="1" a="1"/>
  <c r="M103" i="1" s="1"/>
  <c r="M99" i="1" a="1"/>
  <c r="M99" i="1" s="1"/>
  <c r="N99" i="1" a="1"/>
  <c r="N99" i="1" s="1"/>
  <c r="M96" i="1" a="1"/>
  <c r="M96" i="1" s="1"/>
  <c r="N96" i="1" a="1"/>
  <c r="N96" i="1" s="1"/>
  <c r="M92" i="1" a="1"/>
  <c r="M92" i="1" s="1"/>
  <c r="N92" i="1" a="1"/>
  <c r="N92" i="1" s="1"/>
  <c r="M694" i="1" a="1"/>
  <c r="M694" i="1" s="1"/>
  <c r="M319" i="1" a="1"/>
  <c r="M319" i="1" s="1"/>
  <c r="N781" i="1" a="1"/>
  <c r="N781" i="1" s="1"/>
  <c r="N749" i="1" a="1"/>
  <c r="N749" i="1" s="1"/>
  <c r="N717" i="1" a="1"/>
  <c r="N717" i="1" s="1"/>
  <c r="N685" i="1" a="1"/>
  <c r="N685" i="1" s="1"/>
  <c r="N658" i="1" a="1"/>
  <c r="N658" i="1" s="1"/>
  <c r="N607" i="1" a="1"/>
  <c r="N607" i="1" s="1"/>
  <c r="N498" i="1" a="1"/>
  <c r="N498" i="1" s="1"/>
  <c r="N479" i="1" a="1"/>
  <c r="N479" i="1" s="1"/>
  <c r="M337" i="1" a="1"/>
  <c r="M337" i="1" s="1"/>
  <c r="N337" i="1" a="1"/>
  <c r="N337" i="1" s="1"/>
  <c r="M334" i="1" a="1"/>
  <c r="M334" i="1" s="1"/>
  <c r="N334" i="1" a="1"/>
  <c r="N334" i="1" s="1"/>
  <c r="M331" i="1" a="1"/>
  <c r="M331" i="1" s="1"/>
  <c r="N331" i="1" a="1"/>
  <c r="N331" i="1" s="1"/>
  <c r="M327" i="1" a="1"/>
  <c r="M327" i="1" s="1"/>
  <c r="N327" i="1" a="1"/>
  <c r="N327" i="1" s="1"/>
  <c r="M321" i="1" a="1"/>
  <c r="M321" i="1" s="1"/>
  <c r="N321" i="1" a="1"/>
  <c r="N321" i="1" s="1"/>
  <c r="M318" i="1" a="1"/>
  <c r="M318" i="1" s="1"/>
  <c r="N318" i="1" a="1"/>
  <c r="N318" i="1" s="1"/>
  <c r="M315" i="1" a="1"/>
  <c r="M315" i="1" s="1"/>
  <c r="N315" i="1" a="1"/>
  <c r="N315" i="1" s="1"/>
  <c r="M311" i="1" a="1"/>
  <c r="M311" i="1" s="1"/>
  <c r="N311" i="1" a="1"/>
  <c r="N311" i="1" s="1"/>
  <c r="M305" i="1" a="1"/>
  <c r="M305" i="1" s="1"/>
  <c r="N305" i="1" a="1"/>
  <c r="N305" i="1" s="1"/>
  <c r="M302" i="1" a="1"/>
  <c r="M302" i="1" s="1"/>
  <c r="N302" i="1" a="1"/>
  <c r="N302" i="1" s="1"/>
  <c r="M299" i="1" a="1"/>
  <c r="M299" i="1" s="1"/>
  <c r="N299" i="1" a="1"/>
  <c r="N299" i="1" s="1"/>
  <c r="M295" i="1" a="1"/>
  <c r="M295" i="1" s="1"/>
  <c r="N295" i="1" a="1"/>
  <c r="N295" i="1" s="1"/>
  <c r="M287" i="1" a="1"/>
  <c r="M287" i="1" s="1"/>
  <c r="N287" i="1" a="1"/>
  <c r="N287" i="1" s="1"/>
  <c r="M284" i="1" a="1"/>
  <c r="M284" i="1" s="1"/>
  <c r="N284" i="1" a="1"/>
  <c r="N284" i="1" s="1"/>
  <c r="M280" i="1" a="1"/>
  <c r="M280" i="1" s="1"/>
  <c r="N280" i="1" a="1"/>
  <c r="N280" i="1" s="1"/>
  <c r="M277" i="1" a="1"/>
  <c r="M277" i="1" s="1"/>
  <c r="N277" i="1" a="1"/>
  <c r="N277" i="1" s="1"/>
  <c r="M274" i="1" a="1"/>
  <c r="M274" i="1" s="1"/>
  <c r="N274" i="1" a="1"/>
  <c r="N274" i="1" s="1"/>
  <c r="M270" i="1" a="1"/>
  <c r="M270" i="1" s="1"/>
  <c r="N270" i="1" a="1"/>
  <c r="N270" i="1" s="1"/>
  <c r="M267" i="1" a="1"/>
  <c r="M267" i="1" s="1"/>
  <c r="N267" i="1" a="1"/>
  <c r="N267" i="1" s="1"/>
  <c r="M260" i="1" a="1"/>
  <c r="M260" i="1" s="1"/>
  <c r="N260" i="1" a="1"/>
  <c r="N260" i="1" s="1"/>
  <c r="M256" i="1" a="1"/>
  <c r="M256" i="1" s="1"/>
  <c r="N256" i="1" a="1"/>
  <c r="N256" i="1" s="1"/>
  <c r="M250" i="1" a="1"/>
  <c r="M250" i="1" s="1"/>
  <c r="N250" i="1" a="1"/>
  <c r="N250" i="1" s="1"/>
  <c r="M241" i="1" a="1"/>
  <c r="M241" i="1" s="1"/>
  <c r="N241" i="1" a="1"/>
  <c r="N241" i="1" s="1"/>
  <c r="M237" i="1" a="1"/>
  <c r="M237" i="1" s="1"/>
  <c r="N237" i="1" a="1"/>
  <c r="N237" i="1" s="1"/>
  <c r="M230" i="1" a="1"/>
  <c r="M230" i="1" s="1"/>
  <c r="N230" i="1" a="1"/>
  <c r="N230" i="1" s="1"/>
  <c r="M226" i="1" a="1"/>
  <c r="M226" i="1" s="1"/>
  <c r="N226" i="1" a="1"/>
  <c r="N226" i="1" s="1"/>
  <c r="M222" i="1" a="1"/>
  <c r="M222" i="1" s="1"/>
  <c r="N222" i="1" a="1"/>
  <c r="N222" i="1" s="1"/>
  <c r="M218" i="1" a="1"/>
  <c r="M218" i="1" s="1"/>
  <c r="N218" i="1" a="1"/>
  <c r="N218" i="1" s="1"/>
  <c r="M215" i="1" a="1"/>
  <c r="M215" i="1" s="1"/>
  <c r="N215" i="1" a="1"/>
  <c r="N215" i="1" s="1"/>
  <c r="M211" i="1" a="1"/>
  <c r="M211" i="1" s="1"/>
  <c r="N211" i="1" a="1"/>
  <c r="N211" i="1" s="1"/>
  <c r="M204" i="1" a="1"/>
  <c r="M204" i="1" s="1"/>
  <c r="N204" i="1" a="1"/>
  <c r="N204" i="1" s="1"/>
  <c r="M201" i="1" a="1"/>
  <c r="M201" i="1" s="1"/>
  <c r="N201" i="1" a="1"/>
  <c r="N201" i="1" s="1"/>
  <c r="M195" i="1" a="1"/>
  <c r="M195" i="1" s="1"/>
  <c r="N195" i="1" a="1"/>
  <c r="N195" i="1" s="1"/>
  <c r="M192" i="1" a="1"/>
  <c r="M192" i="1" s="1"/>
  <c r="N192" i="1" a="1"/>
  <c r="N192" i="1" s="1"/>
  <c r="M189" i="1" a="1"/>
  <c r="M189" i="1" s="1"/>
  <c r="N189" i="1" a="1"/>
  <c r="N189" i="1" s="1"/>
  <c r="M186" i="1" a="1"/>
  <c r="M186" i="1" s="1"/>
  <c r="N186" i="1" a="1"/>
  <c r="N186" i="1" s="1"/>
  <c r="M182" i="1" a="1"/>
  <c r="M182" i="1" s="1"/>
  <c r="N182" i="1" a="1"/>
  <c r="N182" i="1" s="1"/>
  <c r="N178" i="1" a="1"/>
  <c r="N178" i="1" s="1"/>
  <c r="M178" i="1" a="1"/>
  <c r="M178" i="1" s="1"/>
  <c r="M175" i="1" a="1"/>
  <c r="M175" i="1" s="1"/>
  <c r="N175" i="1" a="1"/>
  <c r="N175" i="1" s="1"/>
  <c r="M169" i="1" a="1"/>
  <c r="M169" i="1" s="1"/>
  <c r="N169" i="1" a="1"/>
  <c r="N169" i="1" s="1"/>
  <c r="M165" i="1" a="1"/>
  <c r="M165" i="1" s="1"/>
  <c r="N165" i="1" a="1"/>
  <c r="N165" i="1" s="1"/>
  <c r="M158" i="1" a="1"/>
  <c r="M158" i="1" s="1"/>
  <c r="N158" i="1" a="1"/>
  <c r="N158" i="1" s="1"/>
  <c r="M155" i="1" a="1"/>
  <c r="M155" i="1" s="1"/>
  <c r="N155" i="1" a="1"/>
  <c r="N155" i="1" s="1"/>
  <c r="M152" i="1" a="1"/>
  <c r="M152" i="1" s="1"/>
  <c r="N152" i="1" a="1"/>
  <c r="N152" i="1" s="1"/>
  <c r="M141" i="1" a="1"/>
  <c r="M141" i="1" s="1"/>
  <c r="N141" i="1" a="1"/>
  <c r="N141" i="1" s="1"/>
  <c r="M138" i="1" a="1"/>
  <c r="M138" i="1" s="1"/>
  <c r="N138" i="1" a="1"/>
  <c r="N138" i="1" s="1"/>
  <c r="M134" i="1" a="1"/>
  <c r="M134" i="1" s="1"/>
  <c r="N134" i="1" a="1"/>
  <c r="N134" i="1" s="1"/>
  <c r="M130" i="1" a="1"/>
  <c r="M130" i="1" s="1"/>
  <c r="N130" i="1" a="1"/>
  <c r="N130" i="1" s="1"/>
  <c r="M127" i="1" a="1"/>
  <c r="M127" i="1" s="1"/>
  <c r="N127" i="1" a="1"/>
  <c r="N127" i="1" s="1"/>
  <c r="M123" i="1" a="1"/>
  <c r="M123" i="1" s="1"/>
  <c r="N123" i="1" a="1"/>
  <c r="N123" i="1" s="1"/>
  <c r="M120" i="1" a="1"/>
  <c r="M120" i="1" s="1"/>
  <c r="N120" i="1" a="1"/>
  <c r="N120" i="1" s="1"/>
  <c r="M116" i="1" a="1"/>
  <c r="M116" i="1" s="1"/>
  <c r="N116" i="1" a="1"/>
  <c r="N116" i="1" s="1"/>
  <c r="M112" i="1" a="1"/>
  <c r="M112" i="1" s="1"/>
  <c r="N112" i="1" a="1"/>
  <c r="N112" i="1" s="1"/>
  <c r="M108" i="1" a="1"/>
  <c r="M108" i="1" s="1"/>
  <c r="N108" i="1" a="1"/>
  <c r="N108" i="1" s="1"/>
  <c r="M102" i="1" a="1"/>
  <c r="M102" i="1" s="1"/>
  <c r="N102" i="1" a="1"/>
  <c r="N102" i="1" s="1"/>
  <c r="M98" i="1" a="1"/>
  <c r="M98" i="1" s="1"/>
  <c r="N98" i="1" a="1"/>
  <c r="N98" i="1" s="1"/>
  <c r="M95" i="1" a="1"/>
  <c r="M95" i="1" s="1"/>
  <c r="N95" i="1" a="1"/>
  <c r="N95" i="1" s="1"/>
  <c r="M89" i="1" a="1"/>
  <c r="M89" i="1" s="1"/>
  <c r="N89" i="1" a="1"/>
  <c r="N89" i="1" s="1"/>
  <c r="M85" i="1" a="1"/>
  <c r="M85" i="1" s="1"/>
  <c r="N85" i="1" a="1"/>
  <c r="N85" i="1" s="1"/>
  <c r="N78" i="1" a="1"/>
  <c r="N78" i="1" s="1"/>
  <c r="M78" i="1" a="1"/>
  <c r="M78" i="1" s="1"/>
  <c r="M75" i="1" a="1"/>
  <c r="M75" i="1" s="1"/>
  <c r="N75" i="1" a="1"/>
  <c r="N75" i="1" s="1"/>
  <c r="M71" i="1" a="1"/>
  <c r="M71" i="1" s="1"/>
  <c r="N71" i="1" a="1"/>
  <c r="N71" i="1" s="1"/>
  <c r="M67" i="1" a="1"/>
  <c r="M67" i="1" s="1"/>
  <c r="N67" i="1" a="1"/>
  <c r="N67" i="1" s="1"/>
  <c r="M64" i="1" a="1"/>
  <c r="M64" i="1" s="1"/>
  <c r="N64" i="1" a="1"/>
  <c r="N64" i="1" s="1"/>
  <c r="M42" i="1" a="1"/>
  <c r="M42" i="1" s="1"/>
  <c r="N42" i="1" a="1"/>
  <c r="N42" i="1" s="1"/>
  <c r="M38" i="1" a="1"/>
  <c r="M38" i="1" s="1"/>
  <c r="N38" i="1" a="1"/>
  <c r="N38" i="1" s="1"/>
  <c r="M34" i="1" a="1"/>
  <c r="M34" i="1" s="1"/>
  <c r="N34" i="1" a="1"/>
  <c r="N34" i="1" s="1"/>
  <c r="M31" i="1" a="1"/>
  <c r="M31" i="1" s="1"/>
  <c r="N31" i="1" a="1"/>
  <c r="N31" i="1" s="1"/>
  <c r="M27" i="1" a="1"/>
  <c r="M27" i="1" s="1"/>
  <c r="N27" i="1" a="1"/>
  <c r="N27" i="1" s="1"/>
  <c r="M23" i="1" a="1"/>
  <c r="M23" i="1" s="1"/>
  <c r="N23" i="1" a="1"/>
  <c r="N23" i="1" s="1"/>
  <c r="M19" i="1" a="1"/>
  <c r="M19" i="1" s="1"/>
  <c r="N19" i="1" a="1"/>
  <c r="N19" i="1" s="1"/>
  <c r="N796" i="1" a="1"/>
  <c r="N796" i="1" s="1"/>
  <c r="N788" i="1" a="1"/>
  <c r="N788" i="1" s="1"/>
  <c r="N780" i="1" a="1"/>
  <c r="N780" i="1" s="1"/>
  <c r="N772" i="1" a="1"/>
  <c r="N772" i="1" s="1"/>
  <c r="N764" i="1" a="1"/>
  <c r="N764" i="1" s="1"/>
  <c r="N756" i="1" a="1"/>
  <c r="N756" i="1" s="1"/>
  <c r="N748" i="1" a="1"/>
  <c r="N748" i="1" s="1"/>
  <c r="N740" i="1" a="1"/>
  <c r="N740" i="1" s="1"/>
  <c r="N732" i="1" a="1"/>
  <c r="N732" i="1" s="1"/>
  <c r="N724" i="1" a="1"/>
  <c r="N724" i="1" s="1"/>
  <c r="N716" i="1" a="1"/>
  <c r="N716" i="1" s="1"/>
  <c r="N708" i="1" a="1"/>
  <c r="N708" i="1" s="1"/>
  <c r="N700" i="1" a="1"/>
  <c r="N700" i="1" s="1"/>
  <c r="N692" i="1" a="1"/>
  <c r="N692" i="1" s="1"/>
  <c r="N684" i="1" a="1"/>
  <c r="N684" i="1" s="1"/>
  <c r="N145" i="1" a="1"/>
  <c r="N145" i="1" s="1"/>
  <c r="M676" i="1" a="1"/>
  <c r="M676" i="1" s="1"/>
  <c r="N676" i="1" a="1"/>
  <c r="N676" i="1" s="1"/>
  <c r="M548" i="1" a="1"/>
  <c r="M548" i="1" s="1"/>
  <c r="N548" i="1" a="1"/>
  <c r="N548" i="1" s="1"/>
  <c r="M545" i="1" a="1"/>
  <c r="M545" i="1" s="1"/>
  <c r="N545" i="1" a="1"/>
  <c r="N545" i="1" s="1"/>
  <c r="M541" i="1" a="1"/>
  <c r="M541" i="1" s="1"/>
  <c r="N541" i="1" a="1"/>
  <c r="N541" i="1" s="1"/>
  <c r="M538" i="1" a="1"/>
  <c r="M538" i="1" s="1"/>
  <c r="N538" i="1" a="1"/>
  <c r="N538" i="1" s="1"/>
  <c r="M535" i="1" a="1"/>
  <c r="M535" i="1" s="1"/>
  <c r="N535" i="1" a="1"/>
  <c r="N535" i="1" s="1"/>
  <c r="M531" i="1" a="1"/>
  <c r="M531" i="1" s="1"/>
  <c r="N531" i="1" a="1"/>
  <c r="N531" i="1" s="1"/>
  <c r="M518" i="1" a="1"/>
  <c r="M518" i="1" s="1"/>
  <c r="N518" i="1" a="1"/>
  <c r="N518" i="1" s="1"/>
  <c r="M515" i="1" a="1"/>
  <c r="M515" i="1" s="1"/>
  <c r="N515" i="1" a="1"/>
  <c r="N515" i="1" s="1"/>
  <c r="M512" i="1" a="1"/>
  <c r="M512" i="1" s="1"/>
  <c r="N512" i="1" a="1"/>
  <c r="N512" i="1" s="1"/>
  <c r="M497" i="1" a="1"/>
  <c r="M497" i="1" s="1"/>
  <c r="N497" i="1" a="1"/>
  <c r="N497" i="1" s="1"/>
  <c r="M493" i="1" a="1"/>
  <c r="M493" i="1" s="1"/>
  <c r="N493" i="1" a="1"/>
  <c r="N493" i="1" s="1"/>
  <c r="M486" i="1" a="1"/>
  <c r="M486" i="1" s="1"/>
  <c r="N486" i="1" a="1"/>
  <c r="N486" i="1" s="1"/>
  <c r="M464" i="1" a="1"/>
  <c r="M464" i="1" s="1"/>
  <c r="N464" i="1" a="1"/>
  <c r="N464" i="1" s="1"/>
  <c r="M451" i="1" a="1"/>
  <c r="M451" i="1" s="1"/>
  <c r="N451" i="1" a="1"/>
  <c r="N451" i="1" s="1"/>
  <c r="M444" i="1" a="1"/>
  <c r="M444" i="1" s="1"/>
  <c r="N444" i="1" a="1"/>
  <c r="N444" i="1" s="1"/>
  <c r="M437" i="1" a="1"/>
  <c r="M437" i="1" s="1"/>
  <c r="N437" i="1" a="1"/>
  <c r="N437" i="1" s="1"/>
  <c r="M429" i="1" a="1"/>
  <c r="M429" i="1" s="1"/>
  <c r="N429" i="1" a="1"/>
  <c r="N429" i="1" s="1"/>
  <c r="M425" i="1" a="1"/>
  <c r="M425" i="1" s="1"/>
  <c r="N425" i="1" a="1"/>
  <c r="N425" i="1" s="1"/>
  <c r="M422" i="1" a="1"/>
  <c r="M422" i="1" s="1"/>
  <c r="N422" i="1" a="1"/>
  <c r="N422" i="1" s="1"/>
  <c r="M414" i="1" a="1"/>
  <c r="M414" i="1" s="1"/>
  <c r="N414" i="1" a="1"/>
  <c r="N414" i="1" s="1"/>
  <c r="M403" i="1" a="1"/>
  <c r="M403" i="1" s="1"/>
  <c r="N403" i="1" a="1"/>
  <c r="N403" i="1" s="1"/>
  <c r="M396" i="1" a="1"/>
  <c r="M396" i="1" s="1"/>
  <c r="N396" i="1" a="1"/>
  <c r="N396" i="1" s="1"/>
  <c r="M392" i="1" a="1"/>
  <c r="M392" i="1" s="1"/>
  <c r="N392" i="1" a="1"/>
  <c r="N392" i="1" s="1"/>
  <c r="M389" i="1" a="1"/>
  <c r="M389" i="1" s="1"/>
  <c r="N389" i="1" a="1"/>
  <c r="N389" i="1" s="1"/>
  <c r="M385" i="1" a="1"/>
  <c r="M385" i="1" s="1"/>
  <c r="N385" i="1" a="1"/>
  <c r="N385" i="1" s="1"/>
  <c r="M381" i="1" a="1"/>
  <c r="M381" i="1" s="1"/>
  <c r="N381" i="1" a="1"/>
  <c r="N381" i="1" s="1"/>
  <c r="M368" i="1" a="1"/>
  <c r="M368" i="1" s="1"/>
  <c r="N368" i="1" a="1"/>
  <c r="N368" i="1" s="1"/>
  <c r="M365" i="1" a="1"/>
  <c r="M365" i="1" s="1"/>
  <c r="N365" i="1" a="1"/>
  <c r="N365" i="1" s="1"/>
  <c r="M362" i="1" a="1"/>
  <c r="M362" i="1" s="1"/>
  <c r="N362" i="1" a="1"/>
  <c r="N362" i="1" s="1"/>
  <c r="M352" i="1" a="1"/>
  <c r="M352" i="1" s="1"/>
  <c r="N352" i="1" a="1"/>
  <c r="N352" i="1" s="1"/>
  <c r="M349" i="1" a="1"/>
  <c r="M349" i="1" s="1"/>
  <c r="N349" i="1" a="1"/>
  <c r="N349" i="1" s="1"/>
  <c r="M346" i="1" a="1"/>
  <c r="M346" i="1" s="1"/>
  <c r="N346" i="1" a="1"/>
  <c r="N346" i="1" s="1"/>
  <c r="M333" i="1" a="1"/>
  <c r="M333" i="1" s="1"/>
  <c r="N333" i="1" a="1"/>
  <c r="N333" i="1" s="1"/>
  <c r="M330" i="1" a="1"/>
  <c r="M330" i="1" s="1"/>
  <c r="N330" i="1" a="1"/>
  <c r="N330" i="1" s="1"/>
  <c r="M314" i="1" a="1"/>
  <c r="M314" i="1" s="1"/>
  <c r="N314" i="1" a="1"/>
  <c r="N314" i="1" s="1"/>
  <c r="M294" i="1" a="1"/>
  <c r="M294" i="1" s="1"/>
  <c r="N294" i="1" a="1"/>
  <c r="N294" i="1" s="1"/>
  <c r="M290" i="1" a="1"/>
  <c r="M290" i="1" s="1"/>
  <c r="N290" i="1" a="1"/>
  <c r="N290" i="1" s="1"/>
  <c r="M283" i="1" a="1"/>
  <c r="M283" i="1" s="1"/>
  <c r="N283" i="1" a="1"/>
  <c r="N283" i="1" s="1"/>
  <c r="M263" i="1" a="1"/>
  <c r="M263" i="1" s="1"/>
  <c r="N263" i="1" a="1"/>
  <c r="N263" i="1" s="1"/>
  <c r="M259" i="1" a="1"/>
  <c r="M259" i="1" s="1"/>
  <c r="N259" i="1" a="1"/>
  <c r="N259" i="1" s="1"/>
  <c r="M253" i="1" a="1"/>
  <c r="M253" i="1" s="1"/>
  <c r="N253" i="1" a="1"/>
  <c r="N253" i="1" s="1"/>
  <c r="M247" i="1" a="1"/>
  <c r="M247" i="1" s="1"/>
  <c r="N247" i="1" a="1"/>
  <c r="N247" i="1" s="1"/>
  <c r="M243" i="1" a="1"/>
  <c r="M243" i="1" s="1"/>
  <c r="N243" i="1" a="1"/>
  <c r="N243" i="1" s="1"/>
  <c r="M240" i="1" a="1"/>
  <c r="M240" i="1" s="1"/>
  <c r="N240" i="1" a="1"/>
  <c r="N240" i="1" s="1"/>
  <c r="M236" i="1" a="1"/>
  <c r="M236" i="1" s="1"/>
  <c r="N236" i="1" a="1"/>
  <c r="N236" i="1" s="1"/>
  <c r="M229" i="1" a="1"/>
  <c r="M229" i="1" s="1"/>
  <c r="N229" i="1" a="1"/>
  <c r="N229" i="1" s="1"/>
  <c r="M225" i="1" a="1"/>
  <c r="M225" i="1" s="1"/>
  <c r="N225" i="1" a="1"/>
  <c r="N225" i="1" s="1"/>
  <c r="M221" i="1" a="1"/>
  <c r="M221" i="1" s="1"/>
  <c r="N221" i="1" a="1"/>
  <c r="N221" i="1" s="1"/>
  <c r="M217" i="1" a="1"/>
  <c r="M217" i="1" s="1"/>
  <c r="N217" i="1" a="1"/>
  <c r="N217" i="1" s="1"/>
  <c r="M214" i="1" a="1"/>
  <c r="M214" i="1" s="1"/>
  <c r="N214" i="1" a="1"/>
  <c r="N214" i="1" s="1"/>
  <c r="M210" i="1" a="1"/>
  <c r="M210" i="1" s="1"/>
  <c r="N210" i="1" a="1"/>
  <c r="N210" i="1" s="1"/>
  <c r="M207" i="1" a="1"/>
  <c r="M207" i="1" s="1"/>
  <c r="N207" i="1" a="1"/>
  <c r="N207" i="1" s="1"/>
  <c r="M203" i="1" a="1"/>
  <c r="M203" i="1" s="1"/>
  <c r="N203" i="1" a="1"/>
  <c r="N203" i="1" s="1"/>
  <c r="M200" i="1" a="1"/>
  <c r="M200" i="1" s="1"/>
  <c r="N200" i="1" a="1"/>
  <c r="N200" i="1" s="1"/>
  <c r="M197" i="1" a="1"/>
  <c r="M197" i="1" s="1"/>
  <c r="N197" i="1" a="1"/>
  <c r="N197" i="1" s="1"/>
  <c r="M191" i="1" a="1"/>
  <c r="M191" i="1" s="1"/>
  <c r="N191" i="1" a="1"/>
  <c r="N191" i="1" s="1"/>
  <c r="M185" i="1" a="1"/>
  <c r="M185" i="1" s="1"/>
  <c r="N185" i="1" a="1"/>
  <c r="N185" i="1" s="1"/>
  <c r="M181" i="1" a="1"/>
  <c r="M181" i="1" s="1"/>
  <c r="N181" i="1" a="1"/>
  <c r="N181" i="1" s="1"/>
  <c r="M174" i="1" a="1"/>
  <c r="M174" i="1" s="1"/>
  <c r="N174" i="1" a="1"/>
  <c r="N174" i="1" s="1"/>
  <c r="M171" i="1" a="1"/>
  <c r="M171" i="1" s="1"/>
  <c r="N171" i="1" a="1"/>
  <c r="N171" i="1" s="1"/>
  <c r="M168" i="1" a="1"/>
  <c r="M168" i="1" s="1"/>
  <c r="N168" i="1" a="1"/>
  <c r="N168" i="1" s="1"/>
  <c r="M164" i="1" a="1"/>
  <c r="M164" i="1" s="1"/>
  <c r="N164" i="1" a="1"/>
  <c r="N164" i="1" s="1"/>
  <c r="M161" i="1" a="1"/>
  <c r="M161" i="1" s="1"/>
  <c r="N161" i="1" a="1"/>
  <c r="N161" i="1" s="1"/>
  <c r="M157" i="1" a="1"/>
  <c r="M157" i="1" s="1"/>
  <c r="N157" i="1" a="1"/>
  <c r="N157" i="1" s="1"/>
  <c r="M151" i="1" a="1"/>
  <c r="M151" i="1" s="1"/>
  <c r="N151" i="1" a="1"/>
  <c r="N151" i="1" s="1"/>
  <c r="M147" i="1" a="1"/>
  <c r="M147" i="1" s="1"/>
  <c r="N147" i="1" a="1"/>
  <c r="N147" i="1" s="1"/>
  <c r="M144" i="1" a="1"/>
  <c r="M144" i="1" s="1"/>
  <c r="N144" i="1" a="1"/>
  <c r="N144" i="1" s="1"/>
  <c r="M137" i="1" a="1"/>
  <c r="M137" i="1" s="1"/>
  <c r="N137" i="1" a="1"/>
  <c r="N137" i="1" s="1"/>
  <c r="M133" i="1" a="1"/>
  <c r="M133" i="1" s="1"/>
  <c r="N133" i="1" a="1"/>
  <c r="N133" i="1" s="1"/>
  <c r="M126" i="1" a="1"/>
  <c r="M126" i="1" s="1"/>
  <c r="N126" i="1" a="1"/>
  <c r="N126" i="1" s="1"/>
  <c r="M115" i="1" a="1"/>
  <c r="M115" i="1" s="1"/>
  <c r="N115" i="1" a="1"/>
  <c r="N115" i="1" s="1"/>
  <c r="M111" i="1" a="1"/>
  <c r="M111" i="1" s="1"/>
  <c r="N111" i="1" a="1"/>
  <c r="N111" i="1" s="1"/>
  <c r="M105" i="1" a="1"/>
  <c r="M105" i="1" s="1"/>
  <c r="N105" i="1" a="1"/>
  <c r="N105" i="1" s="1"/>
  <c r="M101" i="1" a="1"/>
  <c r="M101" i="1" s="1"/>
  <c r="N101" i="1" a="1"/>
  <c r="N101" i="1" s="1"/>
  <c r="M94" i="1" a="1"/>
  <c r="M94" i="1" s="1"/>
  <c r="N94" i="1" a="1"/>
  <c r="N94" i="1" s="1"/>
  <c r="M91" i="1" a="1"/>
  <c r="M91" i="1" s="1"/>
  <c r="N91" i="1" a="1"/>
  <c r="N91" i="1" s="1"/>
  <c r="M88" i="1" a="1"/>
  <c r="M88" i="1" s="1"/>
  <c r="N88" i="1" a="1"/>
  <c r="N88" i="1" s="1"/>
  <c r="M84" i="1" a="1"/>
  <c r="M84" i="1" s="1"/>
  <c r="N84" i="1" a="1"/>
  <c r="N84" i="1" s="1"/>
  <c r="M81" i="1" a="1"/>
  <c r="M81" i="1" s="1"/>
  <c r="N81" i="1" a="1"/>
  <c r="N81" i="1" s="1"/>
  <c r="M77" i="1" a="1"/>
  <c r="M77" i="1" s="1"/>
  <c r="N77" i="1" a="1"/>
  <c r="N77" i="1" s="1"/>
  <c r="M74" i="1" a="1"/>
  <c r="M74" i="1" s="1"/>
  <c r="N74" i="1" a="1"/>
  <c r="N74" i="1" s="1"/>
  <c r="M70" i="1" a="1"/>
  <c r="M70" i="1" s="1"/>
  <c r="N70" i="1" a="1"/>
  <c r="N70" i="1" s="1"/>
  <c r="M66" i="1" a="1"/>
  <c r="M66" i="1" s="1"/>
  <c r="N66" i="1" a="1"/>
  <c r="N66" i="1" s="1"/>
  <c r="M63" i="1" a="1"/>
  <c r="M63" i="1" s="1"/>
  <c r="N63" i="1" a="1"/>
  <c r="N63" i="1" s="1"/>
  <c r="M59" i="1" a="1"/>
  <c r="M59" i="1" s="1"/>
  <c r="N59" i="1" a="1"/>
  <c r="N59" i="1" s="1"/>
  <c r="M56" i="1" a="1"/>
  <c r="M56" i="1" s="1"/>
  <c r="N56" i="1" a="1"/>
  <c r="N56" i="1" s="1"/>
  <c r="M48" i="1" a="1"/>
  <c r="M48" i="1" s="1"/>
  <c r="N48" i="1" a="1"/>
  <c r="N48" i="1" s="1"/>
  <c r="M44" i="1" a="1"/>
  <c r="M44" i="1" s="1"/>
  <c r="N44" i="1" a="1"/>
  <c r="N44" i="1" s="1"/>
  <c r="M41" i="1" a="1"/>
  <c r="M41" i="1" s="1"/>
  <c r="N41" i="1" a="1"/>
  <c r="N41" i="1" s="1"/>
  <c r="M37" i="1" a="1"/>
  <c r="M37" i="1" s="1"/>
  <c r="N37" i="1" a="1"/>
  <c r="N37" i="1" s="1"/>
  <c r="M30" i="1" a="1"/>
  <c r="M30" i="1" s="1"/>
  <c r="N30" i="1" a="1"/>
  <c r="N30" i="1" s="1"/>
  <c r="M18" i="1" a="1"/>
  <c r="M18" i="1" s="1"/>
  <c r="N18" i="1" a="1"/>
  <c r="N18" i="1" s="1"/>
  <c r="M454" i="1" a="1"/>
  <c r="M454" i="1" s="1"/>
  <c r="M129" i="1" a="1"/>
  <c r="M129" i="1" s="1"/>
  <c r="N649" i="1" a="1"/>
  <c r="N649" i="1" s="1"/>
  <c r="N642" i="1" a="1"/>
  <c r="N642" i="1" s="1"/>
  <c r="N623" i="1" a="1"/>
  <c r="N623" i="1" s="1"/>
  <c r="N585" i="1" a="1"/>
  <c r="N585" i="1" s="1"/>
  <c r="N578" i="1" a="1"/>
  <c r="N578" i="1" s="1"/>
  <c r="N559" i="1" a="1"/>
  <c r="N559" i="1" s="1"/>
  <c r="N527" i="1" a="1"/>
  <c r="N527" i="1" s="1"/>
  <c r="N521" i="1" a="1"/>
  <c r="N521" i="1" s="1"/>
  <c r="N508" i="1" a="1"/>
  <c r="N508" i="1" s="1"/>
  <c r="N489" i="1" a="1"/>
  <c r="N489" i="1" s="1"/>
  <c r="N482" i="1" a="1"/>
  <c r="N482" i="1" s="1"/>
  <c r="N468" i="1" a="1"/>
  <c r="N468" i="1" s="1"/>
  <c r="N441" i="1" a="1"/>
  <c r="N441" i="1" s="1"/>
  <c r="N433" i="1" a="1"/>
  <c r="N433" i="1" s="1"/>
  <c r="N399" i="1" a="1"/>
  <c r="N399" i="1" s="1"/>
  <c r="N388" i="1" a="1"/>
  <c r="N388" i="1" s="1"/>
  <c r="N356" i="1" a="1"/>
  <c r="N356" i="1" s="1"/>
  <c r="N336" i="1" a="1"/>
  <c r="N336" i="1" s="1"/>
  <c r="N320" i="1" a="1"/>
  <c r="N320" i="1" s="1"/>
  <c r="N304" i="1" a="1"/>
  <c r="N304" i="1" s="1"/>
  <c r="N279" i="1" a="1"/>
  <c r="N279" i="1" s="1"/>
  <c r="N246" i="1" a="1"/>
  <c r="N246" i="1" s="1"/>
  <c r="N220" i="1" a="1"/>
  <c r="N220" i="1" s="1"/>
  <c r="N173" i="1" a="1"/>
  <c r="N173" i="1" s="1"/>
  <c r="M673" i="1" a="1"/>
  <c r="M673" i="1" s="1"/>
  <c r="N673" i="1" a="1"/>
  <c r="N673" i="1" s="1"/>
  <c r="M669" i="1" a="1"/>
  <c r="M669" i="1" s="1"/>
  <c r="N669" i="1" a="1"/>
  <c r="N669" i="1" s="1"/>
  <c r="M666" i="1" a="1"/>
  <c r="M666" i="1" s="1"/>
  <c r="N666" i="1" a="1"/>
  <c r="N666" i="1" s="1"/>
  <c r="M663" i="1" a="1"/>
  <c r="M663" i="1" s="1"/>
  <c r="N663" i="1" a="1"/>
  <c r="N663" i="1" s="1"/>
  <c r="M660" i="1" a="1"/>
  <c r="M660" i="1" s="1"/>
  <c r="N660" i="1" a="1"/>
  <c r="N660" i="1" s="1"/>
  <c r="M657" i="1" a="1"/>
  <c r="M657" i="1" s="1"/>
  <c r="N657" i="1" a="1"/>
  <c r="N657" i="1" s="1"/>
  <c r="M650" i="1" a="1"/>
  <c r="M650" i="1" s="1"/>
  <c r="N650" i="1" a="1"/>
  <c r="N650" i="1" s="1"/>
  <c r="M646" i="1" a="1"/>
  <c r="M646" i="1" s="1"/>
  <c r="N646" i="1" a="1"/>
  <c r="N646" i="1" s="1"/>
  <c r="M627" i="1" a="1"/>
  <c r="M627" i="1" s="1"/>
  <c r="N627" i="1" a="1"/>
  <c r="N627" i="1" s="1"/>
  <c r="M612" i="1" a="1"/>
  <c r="M612" i="1" s="1"/>
  <c r="N612" i="1" a="1"/>
  <c r="N612" i="1" s="1"/>
  <c r="M609" i="1" a="1"/>
  <c r="M609" i="1" s="1"/>
  <c r="N609" i="1" a="1"/>
  <c r="N609" i="1" s="1"/>
  <c r="M605" i="1" a="1"/>
  <c r="M605" i="1" s="1"/>
  <c r="N605" i="1" a="1"/>
  <c r="N605" i="1" s="1"/>
  <c r="M602" i="1" a="1"/>
  <c r="M602" i="1" s="1"/>
  <c r="N602" i="1" a="1"/>
  <c r="N602" i="1" s="1"/>
  <c r="M599" i="1" a="1"/>
  <c r="M599" i="1" s="1"/>
  <c r="N599" i="1" a="1"/>
  <c r="N599" i="1" s="1"/>
  <c r="M596" i="1" a="1"/>
  <c r="M596" i="1" s="1"/>
  <c r="N596" i="1" a="1"/>
  <c r="N596" i="1" s="1"/>
  <c r="M593" i="1" a="1"/>
  <c r="M593" i="1" s="1"/>
  <c r="N593" i="1" a="1"/>
  <c r="N593" i="1" s="1"/>
  <c r="M586" i="1" a="1"/>
  <c r="M586" i="1" s="1"/>
  <c r="N586" i="1" a="1"/>
  <c r="N586" i="1" s="1"/>
  <c r="M582" i="1" a="1"/>
  <c r="M582" i="1" s="1"/>
  <c r="N582" i="1" a="1"/>
  <c r="N582" i="1" s="1"/>
  <c r="M563" i="1" a="1"/>
  <c r="M563" i="1" s="1"/>
  <c r="N563" i="1" a="1"/>
  <c r="N563" i="1" s="1"/>
  <c r="M799" i="1" a="1"/>
  <c r="M799" i="1" s="1"/>
  <c r="N799" i="1" a="1"/>
  <c r="N799" i="1" s="1"/>
  <c r="M795" i="1" a="1"/>
  <c r="M795" i="1" s="1"/>
  <c r="N795" i="1" a="1"/>
  <c r="N795" i="1" s="1"/>
  <c r="M791" i="1" a="1"/>
  <c r="M791" i="1" s="1"/>
  <c r="N791" i="1" a="1"/>
  <c r="N791" i="1" s="1"/>
  <c r="M787" i="1" a="1"/>
  <c r="M787" i="1" s="1"/>
  <c r="N787" i="1" a="1"/>
  <c r="N787" i="1" s="1"/>
  <c r="M783" i="1" a="1"/>
  <c r="M783" i="1" s="1"/>
  <c r="N783" i="1" a="1"/>
  <c r="N783" i="1" s="1"/>
  <c r="M779" i="1" a="1"/>
  <c r="M779" i="1" s="1"/>
  <c r="N779" i="1" a="1"/>
  <c r="N779" i="1" s="1"/>
  <c r="M775" i="1" a="1"/>
  <c r="M775" i="1" s="1"/>
  <c r="N775" i="1" a="1"/>
  <c r="N775" i="1" s="1"/>
  <c r="M771" i="1" a="1"/>
  <c r="M771" i="1" s="1"/>
  <c r="N771" i="1" a="1"/>
  <c r="N771" i="1" s="1"/>
  <c r="M767" i="1" a="1"/>
  <c r="M767" i="1" s="1"/>
  <c r="N767" i="1" a="1"/>
  <c r="N767" i="1" s="1"/>
  <c r="M763" i="1" a="1"/>
  <c r="M763" i="1" s="1"/>
  <c r="N763" i="1" a="1"/>
  <c r="N763" i="1" s="1"/>
  <c r="M759" i="1" a="1"/>
  <c r="M759" i="1" s="1"/>
  <c r="N759" i="1" a="1"/>
  <c r="N759" i="1" s="1"/>
  <c r="M755" i="1" a="1"/>
  <c r="M755" i="1" s="1"/>
  <c r="N755" i="1" a="1"/>
  <c r="N755" i="1" s="1"/>
  <c r="M751" i="1" a="1"/>
  <c r="M751" i="1" s="1"/>
  <c r="N751" i="1" a="1"/>
  <c r="N751" i="1" s="1"/>
  <c r="M747" i="1" a="1"/>
  <c r="M747" i="1" s="1"/>
  <c r="N747" i="1" a="1"/>
  <c r="N747" i="1" s="1"/>
  <c r="M743" i="1" a="1"/>
  <c r="M743" i="1" s="1"/>
  <c r="N743" i="1" a="1"/>
  <c r="N743" i="1" s="1"/>
  <c r="M739" i="1" a="1"/>
  <c r="M739" i="1" s="1"/>
  <c r="N739" i="1" a="1"/>
  <c r="N739" i="1" s="1"/>
  <c r="M735" i="1" a="1"/>
  <c r="M735" i="1" s="1"/>
  <c r="N735" i="1" a="1"/>
  <c r="N735" i="1" s="1"/>
  <c r="M731" i="1" a="1"/>
  <c r="M731" i="1" s="1"/>
  <c r="N731" i="1" a="1"/>
  <c r="N731" i="1" s="1"/>
  <c r="M727" i="1" a="1"/>
  <c r="M727" i="1" s="1"/>
  <c r="N727" i="1" a="1"/>
  <c r="N727" i="1" s="1"/>
  <c r="M723" i="1" a="1"/>
  <c r="M723" i="1" s="1"/>
  <c r="N723" i="1" a="1"/>
  <c r="N723" i="1" s="1"/>
  <c r="M719" i="1" a="1"/>
  <c r="M719" i="1" s="1"/>
  <c r="N719" i="1" a="1"/>
  <c r="N719" i="1" s="1"/>
  <c r="M715" i="1" a="1"/>
  <c r="M715" i="1" s="1"/>
  <c r="N715" i="1" a="1"/>
  <c r="N715" i="1" s="1"/>
  <c r="M711" i="1" a="1"/>
  <c r="M711" i="1" s="1"/>
  <c r="N711" i="1" a="1"/>
  <c r="N711" i="1" s="1"/>
  <c r="M707" i="1" a="1"/>
  <c r="M707" i="1" s="1"/>
  <c r="N707" i="1" a="1"/>
  <c r="N707" i="1" s="1"/>
  <c r="M703" i="1" a="1"/>
  <c r="M703" i="1" s="1"/>
  <c r="N703" i="1" a="1"/>
  <c r="N703" i="1" s="1"/>
  <c r="M699" i="1" a="1"/>
  <c r="M699" i="1" s="1"/>
  <c r="N699" i="1" a="1"/>
  <c r="N699" i="1" s="1"/>
  <c r="M695" i="1" a="1"/>
  <c r="M695" i="1" s="1"/>
  <c r="N695" i="1" a="1"/>
  <c r="N695" i="1" s="1"/>
  <c r="M691" i="1" a="1"/>
  <c r="M691" i="1" s="1"/>
  <c r="N691" i="1" a="1"/>
  <c r="N691" i="1" s="1"/>
  <c r="M687" i="1" a="1"/>
  <c r="M687" i="1" s="1"/>
  <c r="N687" i="1" a="1"/>
  <c r="N687" i="1" s="1"/>
  <c r="M683" i="1" a="1"/>
  <c r="M683" i="1" s="1"/>
  <c r="N683" i="1" a="1"/>
  <c r="N683" i="1" s="1"/>
  <c r="M679" i="1" a="1"/>
  <c r="M679" i="1" s="1"/>
  <c r="N679" i="1" a="1"/>
  <c r="N679" i="1" s="1"/>
  <c r="M675" i="1" a="1"/>
  <c r="M675" i="1" s="1"/>
  <c r="N675" i="1" a="1"/>
  <c r="N675" i="1" s="1"/>
  <c r="M672" i="1" a="1"/>
  <c r="M672" i="1" s="1"/>
  <c r="N672" i="1" a="1"/>
  <c r="N672" i="1" s="1"/>
  <c r="M656" i="1" a="1"/>
  <c r="M656" i="1" s="1"/>
  <c r="N656" i="1" a="1"/>
  <c r="N656" i="1" s="1"/>
  <c r="M653" i="1" a="1"/>
  <c r="M653" i="1" s="1"/>
  <c r="N653" i="1" a="1"/>
  <c r="N653" i="1" s="1"/>
  <c r="M615" i="1" a="1"/>
  <c r="M615" i="1" s="1"/>
  <c r="N615" i="1" a="1"/>
  <c r="N615" i="1" s="1"/>
  <c r="M611" i="1" a="1"/>
  <c r="M611" i="1" s="1"/>
  <c r="N611" i="1" a="1"/>
  <c r="N611" i="1" s="1"/>
  <c r="M608" i="1" a="1"/>
  <c r="M608" i="1" s="1"/>
  <c r="N608" i="1" a="1"/>
  <c r="N608" i="1" s="1"/>
  <c r="M592" i="1" a="1"/>
  <c r="M592" i="1" s="1"/>
  <c r="N592" i="1" a="1"/>
  <c r="N592" i="1" s="1"/>
  <c r="M589" i="1" a="1"/>
  <c r="M589" i="1" s="1"/>
  <c r="N589" i="1" a="1"/>
  <c r="N589" i="1" s="1"/>
  <c r="M551" i="1" a="1"/>
  <c r="M551" i="1" s="1"/>
  <c r="N551" i="1" a="1"/>
  <c r="N551" i="1" s="1"/>
  <c r="M547" i="1" a="1"/>
  <c r="M547" i="1" s="1"/>
  <c r="N547" i="1" a="1"/>
  <c r="N547" i="1" s="1"/>
  <c r="M544" i="1" a="1"/>
  <c r="M544" i="1" s="1"/>
  <c r="N544" i="1" a="1"/>
  <c r="N544" i="1" s="1"/>
  <c r="M534" i="1" a="1"/>
  <c r="M534" i="1" s="1"/>
  <c r="N534" i="1" a="1"/>
  <c r="N534" i="1" s="1"/>
  <c r="M500" i="1" a="1"/>
  <c r="M500" i="1" s="1"/>
  <c r="N500" i="1" a="1"/>
  <c r="N500" i="1" s="1"/>
  <c r="M496" i="1" a="1"/>
  <c r="M496" i="1" s="1"/>
  <c r="N496" i="1" a="1"/>
  <c r="N496" i="1" s="1"/>
  <c r="M481" i="1" a="1"/>
  <c r="M481" i="1" s="1"/>
  <c r="N481" i="1" a="1"/>
  <c r="N481" i="1" s="1"/>
  <c r="M477" i="1" a="1"/>
  <c r="M477" i="1" s="1"/>
  <c r="N477" i="1" a="1"/>
  <c r="N477" i="1" s="1"/>
  <c r="M467" i="1" a="1"/>
  <c r="M467" i="1" s="1"/>
  <c r="N467" i="1" a="1"/>
  <c r="N467" i="1" s="1"/>
  <c r="M460" i="1" a="1"/>
  <c r="M460" i="1" s="1"/>
  <c r="N460" i="1" a="1"/>
  <c r="N460" i="1" s="1"/>
  <c r="M457" i="1" a="1"/>
  <c r="M457" i="1" s="1"/>
  <c r="N457" i="1" a="1"/>
  <c r="N457" i="1" s="1"/>
  <c r="M450" i="1" a="1"/>
  <c r="M450" i="1" s="1"/>
  <c r="N450" i="1" a="1"/>
  <c r="N450" i="1" s="1"/>
  <c r="M443" i="1" a="1"/>
  <c r="M443" i="1" s="1"/>
  <c r="N443" i="1" a="1"/>
  <c r="N443" i="1" s="1"/>
  <c r="M432" i="1" a="1"/>
  <c r="M432" i="1" s="1"/>
  <c r="N432" i="1" a="1"/>
  <c r="N432" i="1" s="1"/>
  <c r="M428" i="1" a="1"/>
  <c r="M428" i="1" s="1"/>
  <c r="N428" i="1" a="1"/>
  <c r="N428" i="1" s="1"/>
  <c r="M421" i="1" a="1"/>
  <c r="M421" i="1" s="1"/>
  <c r="N421" i="1" a="1"/>
  <c r="N421" i="1" s="1"/>
  <c r="M417" i="1" a="1"/>
  <c r="M417" i="1" s="1"/>
  <c r="N417" i="1" a="1"/>
  <c r="N417" i="1" s="1"/>
  <c r="M413" i="1" a="1"/>
  <c r="M413" i="1" s="1"/>
  <c r="N413" i="1" a="1"/>
  <c r="N413" i="1" s="1"/>
  <c r="M406" i="1" a="1"/>
  <c r="M406" i="1" s="1"/>
  <c r="N406" i="1" a="1"/>
  <c r="N406" i="1" s="1"/>
  <c r="M402" i="1" a="1"/>
  <c r="M402" i="1" s="1"/>
  <c r="N402" i="1" a="1"/>
  <c r="N402" i="1" s="1"/>
  <c r="M395" i="1" a="1"/>
  <c r="M395" i="1" s="1"/>
  <c r="N395" i="1" a="1"/>
  <c r="N395" i="1" s="1"/>
  <c r="M384" i="1" a="1"/>
  <c r="M384" i="1" s="1"/>
  <c r="N384" i="1" a="1"/>
  <c r="N384" i="1" s="1"/>
  <c r="M380" i="1" a="1"/>
  <c r="M380" i="1" s="1"/>
  <c r="N380" i="1" a="1"/>
  <c r="N380" i="1" s="1"/>
  <c r="M374" i="1" a="1"/>
  <c r="M374" i="1" s="1"/>
  <c r="N374" i="1" a="1"/>
  <c r="N374" i="1" s="1"/>
  <c r="M371" i="1" a="1"/>
  <c r="M371" i="1" s="1"/>
  <c r="N371" i="1" a="1"/>
  <c r="N371" i="1" s="1"/>
  <c r="M358" i="1" a="1"/>
  <c r="M358" i="1" s="1"/>
  <c r="N358" i="1" a="1"/>
  <c r="N358" i="1" s="1"/>
  <c r="M355" i="1" a="1"/>
  <c r="M355" i="1" s="1"/>
  <c r="N355" i="1" a="1"/>
  <c r="N355" i="1" s="1"/>
  <c r="M342" i="1" a="1"/>
  <c r="M342" i="1" s="1"/>
  <c r="N342" i="1" a="1"/>
  <c r="N342" i="1" s="1"/>
  <c r="M339" i="1" a="1"/>
  <c r="M339" i="1" s="1"/>
  <c r="N339" i="1" a="1"/>
  <c r="N339" i="1" s="1"/>
  <c r="M329" i="1" a="1"/>
  <c r="M329" i="1" s="1"/>
  <c r="N329" i="1" a="1"/>
  <c r="N329" i="1" s="1"/>
  <c r="M326" i="1" a="1"/>
  <c r="M326" i="1" s="1"/>
  <c r="N326" i="1" a="1"/>
  <c r="N326" i="1" s="1"/>
  <c r="M323" i="1" a="1"/>
  <c r="M323" i="1" s="1"/>
  <c r="N323" i="1" a="1"/>
  <c r="N323" i="1" s="1"/>
  <c r="M313" i="1" a="1"/>
  <c r="M313" i="1" s="1"/>
  <c r="N313" i="1" a="1"/>
  <c r="N313" i="1" s="1"/>
  <c r="M310" i="1" a="1"/>
  <c r="M310" i="1" s="1"/>
  <c r="N310" i="1" a="1"/>
  <c r="N310" i="1" s="1"/>
  <c r="M307" i="1" a="1"/>
  <c r="M307" i="1" s="1"/>
  <c r="N307" i="1" a="1"/>
  <c r="N307" i="1" s="1"/>
  <c r="M297" i="1" a="1"/>
  <c r="M297" i="1" s="1"/>
  <c r="N297" i="1" a="1"/>
  <c r="N297" i="1" s="1"/>
  <c r="M293" i="1" a="1"/>
  <c r="M293" i="1" s="1"/>
  <c r="N293" i="1" a="1"/>
  <c r="N293" i="1" s="1"/>
  <c r="M289" i="1" a="1"/>
  <c r="M289" i="1" s="1"/>
  <c r="N289" i="1" a="1"/>
  <c r="N289" i="1" s="1"/>
  <c r="M282" i="1" a="1"/>
  <c r="M282" i="1" s="1"/>
  <c r="N282" i="1" a="1"/>
  <c r="N282" i="1" s="1"/>
  <c r="M269" i="1" a="1"/>
  <c r="M269" i="1" s="1"/>
  <c r="N269" i="1" a="1"/>
  <c r="N269" i="1" s="1"/>
  <c r="M265" i="1" a="1"/>
  <c r="M265" i="1" s="1"/>
  <c r="N265" i="1" a="1"/>
  <c r="N265" i="1" s="1"/>
  <c r="M262" i="1" a="1"/>
  <c r="M262" i="1" s="1"/>
  <c r="N262" i="1" a="1"/>
  <c r="N262" i="1" s="1"/>
  <c r="M258" i="1" a="1"/>
  <c r="M258" i="1" s="1"/>
  <c r="N258" i="1" a="1"/>
  <c r="N258" i="1" s="1"/>
  <c r="M255" i="1" a="1"/>
  <c r="M255" i="1" s="1"/>
  <c r="N255" i="1" a="1"/>
  <c r="N255" i="1" s="1"/>
  <c r="M252" i="1" a="1"/>
  <c r="M252" i="1" s="1"/>
  <c r="N252" i="1" a="1"/>
  <c r="N252" i="1" s="1"/>
  <c r="M249" i="1" a="1"/>
  <c r="M249" i="1" s="1"/>
  <c r="N249" i="1" a="1"/>
  <c r="N249" i="1" s="1"/>
  <c r="M239" i="1" a="1"/>
  <c r="M239" i="1" s="1"/>
  <c r="N239" i="1" a="1"/>
  <c r="N239" i="1" s="1"/>
  <c r="M235" i="1" a="1"/>
  <c r="M235" i="1" s="1"/>
  <c r="N235" i="1" a="1"/>
  <c r="N235" i="1" s="1"/>
  <c r="M228" i="1" a="1"/>
  <c r="M228" i="1" s="1"/>
  <c r="N228" i="1" a="1"/>
  <c r="N228" i="1" s="1"/>
  <c r="M224" i="1" a="1"/>
  <c r="M224" i="1" s="1"/>
  <c r="N224" i="1" a="1"/>
  <c r="N224" i="1" s="1"/>
  <c r="M213" i="1" a="1"/>
  <c r="M213" i="1" s="1"/>
  <c r="N213" i="1" a="1"/>
  <c r="N213" i="1" s="1"/>
  <c r="M209" i="1" a="1"/>
  <c r="M209" i="1" s="1"/>
  <c r="N209" i="1" a="1"/>
  <c r="N209" i="1" s="1"/>
  <c r="M206" i="1" a="1"/>
  <c r="M206" i="1" s="1"/>
  <c r="N206" i="1" a="1"/>
  <c r="N206" i="1" s="1"/>
  <c r="M199" i="1" a="1"/>
  <c r="M199" i="1" s="1"/>
  <c r="N199" i="1" a="1"/>
  <c r="N199" i="1" s="1"/>
  <c r="M184" i="1" a="1"/>
  <c r="M184" i="1" s="1"/>
  <c r="N184" i="1" a="1"/>
  <c r="N184" i="1" s="1"/>
  <c r="M180" i="1" a="1"/>
  <c r="M180" i="1" s="1"/>
  <c r="N180" i="1" a="1"/>
  <c r="N180" i="1" s="1"/>
  <c r="M177" i="1" a="1"/>
  <c r="M177" i="1" s="1"/>
  <c r="N177" i="1" a="1"/>
  <c r="N177" i="1" s="1"/>
  <c r="M167" i="1" a="1"/>
  <c r="M167" i="1" s="1"/>
  <c r="N167" i="1" a="1"/>
  <c r="N167" i="1" s="1"/>
  <c r="M163" i="1" a="1"/>
  <c r="M163" i="1" s="1"/>
  <c r="N163" i="1" a="1"/>
  <c r="N163" i="1" s="1"/>
  <c r="M160" i="1" a="1"/>
  <c r="M160" i="1" s="1"/>
  <c r="N160" i="1" a="1"/>
  <c r="N160" i="1" s="1"/>
  <c r="M150" i="1" a="1"/>
  <c r="M150" i="1" s="1"/>
  <c r="N150" i="1" a="1"/>
  <c r="N150" i="1" s="1"/>
  <c r="M143" i="1" a="1"/>
  <c r="M143" i="1" s="1"/>
  <c r="N143" i="1" a="1"/>
  <c r="N143" i="1" s="1"/>
  <c r="M136" i="1" a="1"/>
  <c r="M136" i="1" s="1"/>
  <c r="N136" i="1" a="1"/>
  <c r="N136" i="1" s="1"/>
  <c r="M132" i="1" a="1"/>
  <c r="M132" i="1" s="1"/>
  <c r="N132" i="1" a="1"/>
  <c r="N132" i="1" s="1"/>
  <c r="M125" i="1" a="1"/>
  <c r="M125" i="1" s="1"/>
  <c r="N125" i="1" a="1"/>
  <c r="N125" i="1" s="1"/>
  <c r="M118" i="1" a="1"/>
  <c r="M118" i="1" s="1"/>
  <c r="N118" i="1" a="1"/>
  <c r="N118" i="1" s="1"/>
  <c r="M114" i="1" a="1"/>
  <c r="M114" i="1" s="1"/>
  <c r="N114" i="1" a="1"/>
  <c r="N114" i="1" s="1"/>
  <c r="M110" i="1" a="1"/>
  <c r="M110" i="1" s="1"/>
  <c r="N110" i="1" a="1"/>
  <c r="N110" i="1" s="1"/>
  <c r="M107" i="1" a="1"/>
  <c r="M107" i="1" s="1"/>
  <c r="N107" i="1" a="1"/>
  <c r="N107" i="1" s="1"/>
  <c r="M104" i="1" a="1"/>
  <c r="M104" i="1" s="1"/>
  <c r="N104" i="1" a="1"/>
  <c r="N104" i="1" s="1"/>
  <c r="N100" i="1" a="1"/>
  <c r="N100" i="1" s="1"/>
  <c r="M100" i="1" a="1"/>
  <c r="M100" i="1" s="1"/>
  <c r="M87" i="1" a="1"/>
  <c r="M87" i="1" s="1"/>
  <c r="N87" i="1" a="1"/>
  <c r="N87" i="1" s="1"/>
  <c r="M83" i="1" a="1"/>
  <c r="M83" i="1" s="1"/>
  <c r="N83" i="1" a="1"/>
  <c r="N83" i="1" s="1"/>
  <c r="M80" i="1" a="1"/>
  <c r="M80" i="1" s="1"/>
  <c r="N80" i="1" a="1"/>
  <c r="N80" i="1" s="1"/>
  <c r="M73" i="1" a="1"/>
  <c r="M73" i="1" s="1"/>
  <c r="N73" i="1" a="1"/>
  <c r="N73" i="1" s="1"/>
  <c r="M62" i="1" a="1"/>
  <c r="M62" i="1" s="1"/>
  <c r="N62" i="1" a="1"/>
  <c r="N62" i="1" s="1"/>
  <c r="M55" i="1" a="1"/>
  <c r="M55" i="1" s="1"/>
  <c r="N55" i="1" a="1"/>
  <c r="N55" i="1" s="1"/>
  <c r="M51" i="1" a="1"/>
  <c r="M51" i="1" s="1"/>
  <c r="N51" i="1" a="1"/>
  <c r="N51" i="1" s="1"/>
  <c r="M47" i="1" a="1"/>
  <c r="M47" i="1" s="1"/>
  <c r="N47" i="1" a="1"/>
  <c r="N47" i="1" s="1"/>
  <c r="M17" i="1" a="1"/>
  <c r="M17" i="1" s="1"/>
  <c r="N17" i="1" a="1"/>
  <c r="N17" i="1" s="1"/>
  <c r="M13" i="1" a="1"/>
  <c r="M13" i="1" s="1"/>
  <c r="N13" i="1" a="1"/>
  <c r="N13" i="1" s="1"/>
  <c r="M9" i="1" a="1"/>
  <c r="M9" i="1" s="1"/>
  <c r="N9" i="1" a="1"/>
  <c r="N9" i="1" s="1"/>
  <c r="M5" i="1" a="1"/>
  <c r="M5" i="1" s="1"/>
  <c r="N5" i="1" a="1"/>
  <c r="N5" i="1" s="1"/>
  <c r="M447" i="1" a="1"/>
  <c r="M447" i="1" s="1"/>
  <c r="N800" i="1" a="1"/>
  <c r="N800" i="1" s="1"/>
  <c r="N792" i="1" a="1"/>
  <c r="N792" i="1" s="1"/>
  <c r="N784" i="1" a="1"/>
  <c r="N784" i="1" s="1"/>
  <c r="N776" i="1" a="1"/>
  <c r="N776" i="1" s="1"/>
  <c r="N768" i="1" a="1"/>
  <c r="N768" i="1" s="1"/>
  <c r="N760" i="1" a="1"/>
  <c r="N760" i="1" s="1"/>
  <c r="N752" i="1" a="1"/>
  <c r="N752" i="1" s="1"/>
  <c r="N744" i="1" a="1"/>
  <c r="N744" i="1" s="1"/>
  <c r="N736" i="1" a="1"/>
  <c r="N736" i="1" s="1"/>
  <c r="N728" i="1" a="1"/>
  <c r="N728" i="1" s="1"/>
  <c r="N720" i="1" a="1"/>
  <c r="N720" i="1" s="1"/>
  <c r="N712" i="1" a="1"/>
  <c r="N712" i="1" s="1"/>
  <c r="N704" i="1" a="1"/>
  <c r="N704" i="1" s="1"/>
  <c r="N696" i="1" a="1"/>
  <c r="N696" i="1" s="1"/>
  <c r="N688" i="1" a="1"/>
  <c r="N688" i="1" s="1"/>
  <c r="N680" i="1" a="1"/>
  <c r="N680" i="1" s="1"/>
  <c r="N635" i="1" a="1"/>
  <c r="N635" i="1" s="1"/>
  <c r="N629" i="1" a="1"/>
  <c r="N629" i="1" s="1"/>
  <c r="N616" i="1" a="1"/>
  <c r="N616" i="1" s="1"/>
  <c r="N571" i="1" a="1"/>
  <c r="N571" i="1" s="1"/>
  <c r="N565" i="1" a="1"/>
  <c r="N565" i="1" s="1"/>
  <c r="N552" i="1" a="1"/>
  <c r="N552" i="1" s="1"/>
  <c r="N507" i="1" a="1"/>
  <c r="N507" i="1" s="1"/>
  <c r="N501" i="1" a="1"/>
  <c r="N501" i="1" s="1"/>
  <c r="N474" i="1" a="1"/>
  <c r="N474" i="1" s="1"/>
  <c r="N461" i="1" a="1"/>
  <c r="N461" i="1" s="1"/>
  <c r="N455" i="1" a="1"/>
  <c r="N455" i="1" s="1"/>
  <c r="N440" i="1" a="1"/>
  <c r="N440" i="1" s="1"/>
  <c r="N377" i="1" a="1"/>
  <c r="N377" i="1" s="1"/>
  <c r="N345" i="1" a="1"/>
  <c r="N345" i="1" s="1"/>
  <c r="N291" i="1" a="1"/>
  <c r="N291" i="1" s="1"/>
  <c r="N266" i="1" a="1"/>
  <c r="N266" i="1" s="1"/>
  <c r="N244" i="1" a="1"/>
  <c r="N244" i="1" s="1"/>
  <c r="N119" i="1" a="1"/>
  <c r="N119" i="1" s="1"/>
  <c r="N69" i="1" a="1"/>
  <c r="N69" i="1" s="1"/>
  <c r="M50" i="1" a="1"/>
  <c r="M50" i="1" s="1"/>
  <c r="N50" i="1" a="1"/>
  <c r="N50" i="1" s="1"/>
  <c r="M43" i="1" a="1"/>
  <c r="M43" i="1" s="1"/>
  <c r="N43" i="1" a="1"/>
  <c r="N43" i="1" s="1"/>
  <c r="M40" i="1" a="1"/>
  <c r="M40" i="1" s="1"/>
  <c r="N40" i="1" a="1"/>
  <c r="N40" i="1" s="1"/>
  <c r="M36" i="1" a="1"/>
  <c r="M36" i="1" s="1"/>
  <c r="N36" i="1" a="1"/>
  <c r="N36" i="1" s="1"/>
  <c r="M33" i="1" a="1"/>
  <c r="M33" i="1" s="1"/>
  <c r="N33" i="1" a="1"/>
  <c r="N33" i="1" s="1"/>
  <c r="M29" i="1" a="1"/>
  <c r="M29" i="1" s="1"/>
  <c r="N29" i="1" a="1"/>
  <c r="N29" i="1" s="1"/>
  <c r="M22" i="1" a="1"/>
  <c r="M22" i="1" s="1"/>
  <c r="N22" i="1" a="1"/>
  <c r="N22" i="1" s="1"/>
  <c r="M15" i="1" a="1"/>
  <c r="M15" i="1" s="1"/>
  <c r="N15" i="1" a="1"/>
  <c r="N15" i="1" s="1"/>
  <c r="M11" i="1" a="1"/>
  <c r="M11" i="1" s="1"/>
  <c r="N11" i="1" a="1"/>
  <c r="N11" i="1" s="1"/>
  <c r="M7" i="1" a="1"/>
  <c r="M7" i="1" s="1"/>
  <c r="N7" i="1" a="1"/>
  <c r="N7" i="1" s="1"/>
  <c r="M3" i="1" a="1"/>
  <c r="M3" i="1" s="1"/>
  <c r="N3" i="1" a="1"/>
  <c r="N3" i="1" s="1"/>
  <c r="M60" i="1" a="1"/>
  <c r="M60" i="1" s="1"/>
  <c r="N60" i="1" a="1"/>
  <c r="N60" i="1" s="1"/>
  <c r="M57" i="1" a="1"/>
  <c r="M57" i="1" s="1"/>
  <c r="N57" i="1" a="1"/>
  <c r="N57" i="1" s="1"/>
  <c r="M53" i="1" a="1"/>
  <c r="M53" i="1" s="1"/>
  <c r="N53" i="1" a="1"/>
  <c r="N53" i="1" s="1"/>
  <c r="M45" i="1" a="1"/>
  <c r="M45" i="1" s="1"/>
  <c r="N45" i="1" a="1"/>
  <c r="N45" i="1" s="1"/>
  <c r="M39" i="1" a="1"/>
  <c r="M39" i="1" s="1"/>
  <c r="N39" i="1" a="1"/>
  <c r="N39" i="1" s="1"/>
  <c r="M35" i="1" a="1"/>
  <c r="M35" i="1" s="1"/>
  <c r="N35" i="1" a="1"/>
  <c r="N35" i="1" s="1"/>
  <c r="M32" i="1" a="1"/>
  <c r="M32" i="1" s="1"/>
  <c r="N32" i="1" a="1"/>
  <c r="N32" i="1" s="1"/>
  <c r="M25" i="1" a="1"/>
  <c r="M25" i="1" s="1"/>
  <c r="N25" i="1" a="1"/>
  <c r="N25" i="1" s="1"/>
  <c r="M21" i="1" a="1"/>
  <c r="M21" i="1" s="1"/>
  <c r="N21" i="1" a="1"/>
  <c r="N21" i="1" s="1"/>
  <c r="M14" i="1" a="1"/>
  <c r="M14" i="1" s="1"/>
  <c r="N14" i="1" a="1"/>
  <c r="N14" i="1" s="1"/>
  <c r="M10" i="1" a="1"/>
  <c r="M10" i="1" s="1"/>
  <c r="N10" i="1" a="1"/>
  <c r="N10" i="1" s="1"/>
  <c r="M6" i="1" a="1"/>
  <c r="M6" i="1" s="1"/>
  <c r="N6" i="1" a="1"/>
  <c r="N6" i="1" s="1"/>
  <c r="Q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<sst xmlns="http://schemas.openxmlformats.org/spreadsheetml/2006/main" count="4617" uniqueCount="848">
  <si>
    <t>APID</t>
  </si>
  <si>
    <t>Vendor</t>
  </si>
  <si>
    <t>Amount</t>
  </si>
  <si>
    <t>Currency</t>
  </si>
  <si>
    <t>Status</t>
  </si>
  <si>
    <t>Terms</t>
  </si>
  <si>
    <t>AP10000</t>
  </si>
  <si>
    <t>AP10001</t>
  </si>
  <si>
    <t>AP10002</t>
  </si>
  <si>
    <t>AP10003</t>
  </si>
  <si>
    <t>AP10004</t>
  </si>
  <si>
    <t>AP10005</t>
  </si>
  <si>
    <t>AP10006</t>
  </si>
  <si>
    <t>AP10007</t>
  </si>
  <si>
    <t>AP10008</t>
  </si>
  <si>
    <t>AP10009</t>
  </si>
  <si>
    <t>AP10010</t>
  </si>
  <si>
    <t>AP10011</t>
  </si>
  <si>
    <t>AP10012</t>
  </si>
  <si>
    <t>AP10013</t>
  </si>
  <si>
    <t>AP10014</t>
  </si>
  <si>
    <t>AP10015</t>
  </si>
  <si>
    <t>AP10016</t>
  </si>
  <si>
    <t>AP10017</t>
  </si>
  <si>
    <t>AP10018</t>
  </si>
  <si>
    <t>AP10019</t>
  </si>
  <si>
    <t>AP10020</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</si>
  <si>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</si>
  <si>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</si>
  <si>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</si>
  <si>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</si>
  <si>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</si>
  <si>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</si>
  <si>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</si>
  <si>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</si>
  <si>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</si>
  <si>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</si>
  <si>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</si>
  <si>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</si>
  <si>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</si>
  <si>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</si>
  <si>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</si>
  <si>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</si>
  <si>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</si>
  <si>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</si>
  <si>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</si>
  <si>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</si>
  <si>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</si>
  <si>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</si>
  <si>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</si>
  <si>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</si>
  <si>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</si>
  <si>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</si>
  <si>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</si>
  <si>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</si>
  <si>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</si>
  <si>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</si>
  <si>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</si>
  <si>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</si>
  <si>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</si>
  <si>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</si>
  <si>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</si>
  <si>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</si>
  <si>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</si>
  <si>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</si>
  <si>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</si>
  <si>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</si>
  <si>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</si>
  <si>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</si>
  <si>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</si>
  <si>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</si>
  <si>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</si>
  <si>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</si>
  <si>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</si>
  <si>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</si>
  <si>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</si>
  <si>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</si>
  <si>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</si>
  <si>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</si>
  <si>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</si>
  <si>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</si>
  <si>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</si>
  <si>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</si>
  <si>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</si>
  <si>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</si>
  <si>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</si>
  <si>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</si>
  <si>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</si>
  <si>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</si>
  <si>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</si>
  <si>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</si>
  <si>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</si>
  <si>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</si>
  <si>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</si>
  <si>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</si>
  <si>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</si>
  <si>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</si>
  <si>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</si>
  <si>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</si>
  <si>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</si>
  <si>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</si>
  <si>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</si>
  <si>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</si>
  <si>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</si>
  <si>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</si>
  <si>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</si>
  <si>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</si>
  <si>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</si>
  <si>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</si>
  <si>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</si>
  <si>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</si>
  <si>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</si>
  <si>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</si>
  <si>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</si>
  <si>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</si>
  <si>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</si>
  <si>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</si>
  <si>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</si>
  <si>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</si>
  <si>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</si>
  <si>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</si>
  <si>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</si>
  <si>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</si>
  <si>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</si>
  <si>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</si>
  <si>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</si>
  <si>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</si>
  <si>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</si>
  <si>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</si>
  <si>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</si>
  <si>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</si>
  <si>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</si>
  <si>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</si>
  <si>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</si>
  <si>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</si>
  <si>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</si>
  <si>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</si>
  <si>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</si>
  <si>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</si>
  <si>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</si>
  <si>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</si>
  <si>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</si>
  <si>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</si>
  <si>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</si>
  <si>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</si>
  <si>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</si>
  <si>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</si>
  <si>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</si>
  <si>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</si>
  <si>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</si>
  <si>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</si>
  <si>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</si>
  <si>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</si>
  <si>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</si>
  <si>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</si>
  <si>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</si>
  <si>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</si>
  <si>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</si>
  <si>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</si>
  <si>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</si>
  <si>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</si>
  <si>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</si>
  <si>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</si>
  <si>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</si>
  <si>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</si>
  <si>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</si>
  <si>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</si>
  <si>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</si>
  <si>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</si>
  <si>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</si>
  <si>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</si>
  <si>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</si>
  <si>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</si>
  <si>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</si>
  <si>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</si>
  <si>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</si>
  <si>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</si>
  <si>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</si>
  <si>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</si>
  <si>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</si>
  <si>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</si>
  <si>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</si>
  <si>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</si>
  <si>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</si>
  <si>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</si>
  <si>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</si>
  <si>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</si>
  <si>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</si>
  <si>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</si>
  <si>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</si>
  <si>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</si>
  <si>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</si>
  <si>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</si>
  <si>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</si>
  <si>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</si>
  <si>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</si>
  <si>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</si>
  <si>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</si>
  <si>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</si>
  <si>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</si>
  <si>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</si>
  <si>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</si>
  <si>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</si>
  <si>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</si>
  <si>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</si>
  <si>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</si>
  <si>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</si>
  <si>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</si>
  <si>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</si>
  <si>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</si>
  <si>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</si>
  <si>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</si>
  <si>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</si>
  <si>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</si>
  <si>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</si>
  <si>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</si>
  <si>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</si>
  <si>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</si>
  <si>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</si>
  <si>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</si>
  <si>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</si>
  <si>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</si>
  <si>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</si>
  <si>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</si>
  <si>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</si>
  <si>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</si>
  <si>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</si>
  <si>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</si>
  <si>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</si>
  <si>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</si>
  <si>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</si>
  <si>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</si>
  <si>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</si>
  <si>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</si>
  <si>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</si>
  <si>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</si>
  <si>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</si>
  <si>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</si>
  <si>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</si>
  <si>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</si>
  <si>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</si>
  <si>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</si>
  <si>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</si>
  <si>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</si>
  <si>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</si>
  <si>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</si>
  <si>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</si>
  <si>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</si>
  <si>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</si>
  <si>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</si>
  <si>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</si>
  <si>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</si>
  <si>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</si>
  <si>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</si>
  <si>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</si>
  <si>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</si>
  <si>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</si>
  <si>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</si>
  <si>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</si>
  <si>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</si>
  <si>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</si>
  <si>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</si>
  <si>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</si>
  <si>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</si>
  <si>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</si>
  <si>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</si>
  <si>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</si>
  <si>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</si>
  <si>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</si>
  <si>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</si>
  <si>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</si>
  <si>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</si>
  <si>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</si>
  <si>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</si>
  <si>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</si>
  <si>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</si>
  <si>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</si>
  <si>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</si>
  <si>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</si>
  <si>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</si>
  <si>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</si>
  <si>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</si>
  <si>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</si>
  <si>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</si>
  <si>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</si>
  <si>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</si>
  <si>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</si>
  <si>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</si>
  <si>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</si>
  <si>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</si>
  <si>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</si>
  <si>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</si>
  <si>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</si>
  <si>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</si>
  <si>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</si>
  <si>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</si>
  <si>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</si>
  <si>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</si>
  <si>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</si>
  <si>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</si>
  <si>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</si>
  <si>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</si>
  <si>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</si>
  <si>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</si>
  <si>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</si>
  <si>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</si>
  <si>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</si>
  <si>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</si>
  <si>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</si>
  <si>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</si>
  <si>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</si>
  <si>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</si>
  <si>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</si>
  <si>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</si>
  <si>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</si>
  <si>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</si>
  <si>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</si>
  <si>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</si>
  <si>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</si>
  <si>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</si>
  <si>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</si>
  <si>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</si>
  <si>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</si>
  <si>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</si>
  <si>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</si>
  <si>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</si>
  <si>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</si>
  <si>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</si>
  <si>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</si>
  <si>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</si>
  <si>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</si>
  <si>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</si>
  <si>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</si>
  <si>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</si>
  <si>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</si>
  <si>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</si>
  <si>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</si>
  <si>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</si>
  <si>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</si>
  <si>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</si>
  <si>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</si>
  <si>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</si>
  <si>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</si>
  <si>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</si>
  <si>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</si>
  <si>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</si>
  <si>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</si>
  <si>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</si>
  <si>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</si>
  <si>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</si>
  <si>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</si>
  <si>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</si>
  <si>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</si>
  <si>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</si>
  <si>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</si>
  <si>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</si>
  <si>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</si>
  <si>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</si>
  <si>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</si>
  <si>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</si>
  <si>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</si>
  <si>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</si>
  <si>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</si>
  <si>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</si>
  <si>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</si>
  <si>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</si>
  <si>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</si>
  <si>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</si>
  <si>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</si>
  <si>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</si>
  <si>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</si>
  <si>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</si>
  <si>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</si>
  <si>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</si>
  <si>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</si>
  <si>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</si>
  <si>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</si>
  <si>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</si>
  <si>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</si>
  <si>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</si>
  <si>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</si>
  <si>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</si>
  <si>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</si>
  <si>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</si>
  <si>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</si>
  <si>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</si>
  <si>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</si>
  <si>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</si>
  <si>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</si>
  <si>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</si>
  <si>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</si>
  <si>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</si>
  <si>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</si>
  <si>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</si>
  <si>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</si>
  <si>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</si>
  <si>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</si>
  <si>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</si>
  <si>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</si>
  <si>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</si>
  <si>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</si>
  <si>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</si>
  <si>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</si>
  <si>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</si>
  <si>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</si>
  <si>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</si>
  <si>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</si>
  <si>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</si>
  <si>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</si>
  <si>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</si>
  <si>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</si>
  <si>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</si>
  <si>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</si>
  <si>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</si>
  <si>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</si>
  <si>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</si>
  <si>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</si>
  <si>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</si>
  <si>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</si>
  <si>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</si>
  <si>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</si>
  <si>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</si>
  <si>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</si>
  <si>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</si>
  <si>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</si>
  <si>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</si>
  <si>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</si>
  <si>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</si>
  <si>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</si>
  <si>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</si>
  <si>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</si>
  <si>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</si>
  <si>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</si>
  <si>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</si>
  <si>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</si>
  <si>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</si>
  <si>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</si>
  <si>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</si>
  <si>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</si>
  <si>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</si>
  <si>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</si>
  <si>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</si>
  <si>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</si>
  <si>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</si>
  <si>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</si>
  <si>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</si>
  <si>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</si>
  <si>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</si>
  <si>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</si>
  <si>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</si>
  <si>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</si>
  <si>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</si>
  <si>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</si>
  <si>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</si>
  <si>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</si>
  <si>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</si>
  <si>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</si>
  <si>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</si>
  <si>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</si>
  <si>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</si>
  <si>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</si>
  <si>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</si>
  <si>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</si>
  <si>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</si>
  <si>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</si>
  <si>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</si>
  <si>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</si>
  <si>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</si>
  <si>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</si>
  <si>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</si>
  <si>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</si>
  <si>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</si>
  <si>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</si>
  <si>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</si>
  <si>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</si>
  <si>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</si>
  <si>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</si>
  <si>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</si>
  <si>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</si>
  <si>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</si>
  <si>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</si>
  <si>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</si>
  <si>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</si>
  <si>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</si>
  <si>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</si>
  <si>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</si>
  <si>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</si>
  <si>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</si>
  <si>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</si>
  <si>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</si>
  <si>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</si>
  <si>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</si>
  <si>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</si>
  <si>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</si>
  <si>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</si>
  <si>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</si>
  <si>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</si>
  <si>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</si>
  <si>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</si>
  <si>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</si>
  <si>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</si>
  <si>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</si>
  <si>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</si>
  <si>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</si>
  <si>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</si>
  <si>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</si>
  <si>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</si>
  <si>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</si>
  <si>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</si>
  <si>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</si>
  <si>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</si>
  <si>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</si>
  <si>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</si>
  <si>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</si>
  <si>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</si>
  <si>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</si>
  <si>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</si>
  <si>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</si>
  <si>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</si>
  <si>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</si>
  <si>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</si>
  <si>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</si>
  <si>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</si>
  <si>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</si>
  <si>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</si>
  <si>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</si>
  <si>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</si>
  <si>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</si>
  <si>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</si>
  <si>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</si>
  <si>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</si>
  <si>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</si>
  <si>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</si>
  <si>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</si>
  <si>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</si>
  <si>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</si>
  <si>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</si>
  <si>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</si>
  <si>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</si>
  <si>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</si>
  <si>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</si>
  <si>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</si>
  <si>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</si>
  <si>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</si>
  <si>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</si>
  <si>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</si>
  <si>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</si>
  <si>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</si>
  <si>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</si>
  <si>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</si>
  <si>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</si>
  <si>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</si>
  <si>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</si>
  <si>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</si>
  <si>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</si>
  <si>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</si>
  <si>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</si>
  <si>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</si>
  <si>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</si>
  <si>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</si>
  <si>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</si>
  <si>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</si>
  <si>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</si>
  <si>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</si>
  <si>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</si>
  <si>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</si>
  <si>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</si>
  <si>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</si>
  <si>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</si>
  <si>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</si>
  <si>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</si>
  <si>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</si>
  <si>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</si>
  <si>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</si>
  <si>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</si>
  <si>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</si>
  <si>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</si>
  <si>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</si>
  <si>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</si>
  <si>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</si>
  <si>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</si>
  <si>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</si>
  <si>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</si>
  <si>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</si>
  <si>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</si>
  <si>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</si>
  <si>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</si>
  <si>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</si>
  <si>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</si>
  <si>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</si>
  <si>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</si>
  <si>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</si>
  <si>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</si>
  <si>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</si>
  <si>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</si>
  <si>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</si>
  <si>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</si>
  <si>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</si>
  <si>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</si>
  <si>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</si>
  <si>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</si>
  <si>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</si>
  <si>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</si>
  <si>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</si>
  <si>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</si>
  <si>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</si>
  <si>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</si>
  <si>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</si>
  <si>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</si>
  <si>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</si>
  <si>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</si>
  <si>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</si>
  <si>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</si>
  <si>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</si>
  <si>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</si>
  <si>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</si>
  <si>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</si>
  <si>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</si>
  <si>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</si>
  <si>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</si>
  <si>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</si>
  <si>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</si>
  <si>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</si>
  <si>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</si>
  <si>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</si>
  <si>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</si>
  <si>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</si>
  <si>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</si>
  <si>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</si>
  <si>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</si>
  <si>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</si>
  <si>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</si>
  <si>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</si>
  <si>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</si>
  <si>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</si>
  <si>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</si>
  <si>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</si>
  <si>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</si>
  <si>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</si>
  <si>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</si>
  <si>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</si>
  <si>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</si>
  <si>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</si>
  <si>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</si>
  <si>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</si>
  <si>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</si>
  <si>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</si>
  <si>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</si>
  <si>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</si>
  <si>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</si>
  <si>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</si>
  <si>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</si>
  <si>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</si>
  <si>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</si>
  <si>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</si>
  <si>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</si>
  <si>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</si>
  <si>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</si>
  <si>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</si>
  <si>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</si>
  <si>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</si>
  <si>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</si>
  <si>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</si>
  <si>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</si>
  <si>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</si>
  <si>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</si>
  <si>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</si>
  <si>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</si>
  <si>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</si>
  <si>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</si>
  <si>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</si>
  <si>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</si>
  <si>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</si>
  <si>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</si>
  <si>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</si>
  <si>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</si>
  <si>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</si>
  <si>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</si>
  <si>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</si>
  <si>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</si>
  <si>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</si>
  <si>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</si>
  <si>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</si>
  <si>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</si>
  <si>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</si>
  <si>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</si>
  <si>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</si>
  <si>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</si>
  <si>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</si>
  <si>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</si>
  <si>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</si>
  <si>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</si>
  <si>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</si>
  <si>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</si>
  <si>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</si>
  <si>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</si>
  <si>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</si>
  <si>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</si>
  <si>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</si>
  <si>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</si>
  <si>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</si>
  <si>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</si>
  <si>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</si>
  <si>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</si>
  <si>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</si>
  <si>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</si>
  <si>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</si>
  <si>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</si>
  <si>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</si>
  <si>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</si>
  <si>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</si>
  <si>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</si>
  <si>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</si>
  <si>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</si>
  <si>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</si>
  <si>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</si>
  <si>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</si>
  <si>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</si>
  <si>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</si>
  <si>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</si>
  <si>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</si>
  <si>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</si>
  <si>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</si>
  <si>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</si>
  <si>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</si>
  <si>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</si>
  <si>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</si>
  <si>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</si>
  <si>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</si>
  <si>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</si>
  <si>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</si>
  <si>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</si>
  <si>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</si>
  <si>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</si>
  <si>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</si>
  <si>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</si>
  <si>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</si>
  <si>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</si>
  <si>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</si>
  <si>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</si>
  <si>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</si>
  <si>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</si>
  <si>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</si>
  <si>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</si>
  <si>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</si>
  <si>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</si>
  <si>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</si>
  <si>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</si>
  <si>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</si>
  <si>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</si>
  <si>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</si>
  <si>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</si>
  <si>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</si>
  <si>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</si>
  <si>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</si>
  <si>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</si>
  <si>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</si>
  <si>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</si>
  <si>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</si>
  <si>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</si>
  <si>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</si>
  <si>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</si>
  <si>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</si>
  <si>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</si>
  <si>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</si>
  <si>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</si>
  <si>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</si>
  <si>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</si>
  <si>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</si>
  <si>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</si>
  <si>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</si>
  <si>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</si>
  <si>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</si>
  <si>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</si>
  <si>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</si>
  <si>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</si>
  <si>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</si>
  <si>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</si>
  <si>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</si>
  <si>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</si>
  <si>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</si>
  <si>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</si>
  <si>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</si>
  <si>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</si>
  <si>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</si>
  <si>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</si>
  <si>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</si>
  <si>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</si>
  <si>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</si>
  <si>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</si>
  <si>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</si>
  <si>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</si>
  <si>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</si>
  <si>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</si>
  <si>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</si>
  <si>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</si>
  <si>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</si>
  <si>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</si>
  <si>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</si>
  <si>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</si>
  <si>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</si>
  <si>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</si>
  <si>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</si>
  <si>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</si>
  <si>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</si>
  <si>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</si>
  <si>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BluePrints</t>
  </si>
  <si>
    <t>Fast Travel</t>
  </si>
  <si>
    <t>ABC Supplies</t>
  </si>
  <si>
    <t>Global Office</t>
  </si>
  <si>
    <t>TechMart</t>
  </si>
  <si>
    <t>EUR</t>
  </si>
  <si>
    <t>CAD</t>
  </si>
  <si>
    <t>GBP</t>
  </si>
  <si>
    <t>USD</t>
  </si>
  <si>
    <t>AUD</t>
  </si>
  <si>
    <t>Open</t>
  </si>
  <si>
    <t>Partial</t>
  </si>
  <si>
    <t>Paid</t>
  </si>
  <si>
    <t>Net 30</t>
  </si>
  <si>
    <t>Days Overdue</t>
  </si>
  <si>
    <t>Rate in USD</t>
  </si>
  <si>
    <t>Amount in USD</t>
  </si>
  <si>
    <t>Amount Paid</t>
  </si>
  <si>
    <t>Remaining Balance</t>
  </si>
  <si>
    <t>Pending</t>
  </si>
  <si>
    <t>Overdue</t>
  </si>
  <si>
    <t>Total Cash Needed</t>
  </si>
  <si>
    <t>Total Amount Paid</t>
  </si>
  <si>
    <t>Settlement Rate</t>
  </si>
  <si>
    <t>Debt Count</t>
  </si>
  <si>
    <t>Invoice Date</t>
  </si>
  <si>
    <t>Due Date</t>
  </si>
  <si>
    <t>Paid Date</t>
  </si>
  <si>
    <t>1 Year+</t>
  </si>
  <si>
    <t>91-365</t>
  </si>
  <si>
    <t>Settled</t>
  </si>
  <si>
    <t>Grand Total</t>
  </si>
  <si>
    <t xml:space="preserve">Remaining Balance </t>
  </si>
  <si>
    <t xml:space="preserve">APID </t>
  </si>
  <si>
    <t>Row Labels</t>
  </si>
  <si>
    <t>Amount per Currency</t>
  </si>
  <si>
    <t xml:space="preserve">Amount in USD </t>
  </si>
  <si>
    <t>(All)</t>
  </si>
  <si>
    <t>Remaining Balance %</t>
  </si>
  <si>
    <t xml:space="preserve"> Remaining Balance</t>
  </si>
  <si>
    <t>ACCOUNTS PAYABLE DASHBOARD</t>
  </si>
  <si>
    <t xml:space="preserve">Amount Paid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</si>
</sst>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yyyy\-mm\-dd;@"/>
  </numFmts>
  <fonts count="5" x14ac:knownFonts="1">
    <font>
      <sz val="11"/>
      <color theme="1"/>
      <name val="Calibri"/>
      <family val="2"/>
      <scheme val="minor"/>
    </font>
    <font>
      <b/>
      <sz val="11"/>
      <color theme="0"/>
      <name val="Calibri"/>
      <family val="2"/>
      <scheme val="minor"/>
    </font>
    <font>
      <sz val="11"/>
      <color theme="1"/>
      <name val="Calibri"/>
      <family val="2"/>
      <scheme val="minor"/>
    </font>
    <font>
      <b/>
      <sz val="36"/>
      <color theme="0"/>
      <name val="Calibri"/>
      <family val="2"/>
      <scheme val="minor"/>
    </font>
    <font>
      <b/>
      <sz val="48"/>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theme="5" tint="-0.249977111117893"/>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6">
    <xf numFmtId="0" fontId="0" fillId="0" borderId="0" xfId="0"/>
    <xf numFmtId="0" fontId="1" fillId="2" borderId="1" xfId="0" applyFont="1" applyFill="1" applyBorder="1" applyAlignment="1">
      <alignment horizontal="center" vertical="top"/>
    </xf>
    <xf numFmtId="43" fontId="1" fillId="2" borderId="1" xfId="1" applyFont="1" applyFill="1" applyBorder="1" applyAlignment="1">
      <alignment horizontal="center" vertical="top"/>
    </xf>
    <xf numFmtId="43" fontId="0" fillId="0" borderId="0" xfId="1" applyFont="1"/>
    <xf numFmtId="164" fontId="1" fillId="2" borderId="1" xfId="0" applyNumberFormat="1" applyFont="1" applyFill="1" applyBorder="1" applyAlignment="1">
      <alignment horizontal="center" vertical="top"/>
    </xf>
    <xf numFmtId="164" fontId="0" fillId="0" borderId="0" xfId="0" applyNumberFormat="1"/>
    <xf numFmtId="1" fontId="1" fillId="2" borderId="1" xfId="1" applyNumberFormat="1" applyFont="1" applyFill="1" applyBorder="1" applyAlignment="1">
      <alignment horizontal="center" vertical="top"/>
    </xf>
    <xf numFmtId="1" fontId="0" fillId="0" borderId="0" xfId="1" applyNumberFormat="1" applyFont="1"/>
    <xf numFmtId="0" fontId="1" fillId="3" borderId="1" xfId="0" applyFont="1" applyFill="1" applyBorder="1" applyAlignment="1">
      <alignment horizontal="center" vertical="top"/>
    </xf>
    <xf numFmtId="2" fontId="1" fillId="3" borderId="1" xfId="0" applyNumberFormat="1" applyFont="1" applyFill="1" applyBorder="1" applyAlignment="1">
      <alignment horizontal="center" vertical="top"/>
    </xf>
    <xf numFmtId="2" fontId="0" fillId="0" borderId="0" xfId="0" applyNumberFormat="1"/>
    <xf numFmtId="43" fontId="1" fillId="2" borderId="0" xfId="1" applyFont="1" applyFill="1" applyBorder="1" applyAlignment="1">
      <alignment horizontal="center" vertical="top"/>
    </xf>
    <xf numFmtId="0" fontId="1" fillId="2" borderId="1" xfId="1" applyNumberFormat="1" applyFont="1" applyFill="1" applyBorder="1" applyAlignment="1">
      <alignment horizontal="center" vertical="top"/>
    </xf>
    <xf numFmtId="0" fontId="0" fillId="0" borderId="0" xfId="1" applyNumberFormat="1" applyFont="1"/>
    <xf numFmtId="43" fontId="0" fillId="0" borderId="0" xfId="0" applyNumberFormat="1"/>
    <xf numFmtId="9" fontId="0" fillId="0" borderId="0" xfId="2" applyFont="1"/>
    <xf numFmtId="9" fontId="1" fillId="4" borderId="0" xfId="2" applyFont="1" applyFill="1" applyAlignment="1">
      <alignment horizontal="center" vertical="center"/>
    </xf>
    <xf numFmtId="1" fontId="1" fillId="4" borderId="0" xfId="2" applyNumberFormat="1" applyFont="1" applyFill="1" applyAlignment="1">
      <alignment horizontal="center" vertical="center"/>
    </xf>
    <xf numFmtId="1" fontId="0" fillId="0" borderId="0" xfId="2" applyNumberFormat="1" applyFont="1"/>
    <xf numFmtId="44" fontId="1" fillId="4" borderId="0" xfId="0" applyNumberFormat="1" applyFont="1" applyFill="1" applyAlignment="1">
      <alignment horizontal="center" vertical="center"/>
    </xf>
    <xf numFmtId="4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4" fillId="5" borderId="0" xfId="0" applyFont="1" applyFill="1" applyAlignment="1">
      <alignment horizontal="center" vertical="center"/>
    </xf>
    <xf numFmtId="0" fontId="3" fillId="5" borderId="0" xfId="0" applyFont="1" applyFill="1" applyAlignment="1">
      <alignment horizontal="center" vertical="center"/>
    </xf>
  </cellXfs>
  <cellStyles count="3">
    <cellStyle name="Comma" xfId="1" builtinId="3"/>
    <cellStyle name="Normal" xfId="0" builtinId="0"/>
    <cellStyle name="Percent" xfId="2" builtinId="5"/>
  </cellStyles>
  <dxfs count="8">
    <dxf>
      <font>
        <color rgb="FF9C0006"/>
      </font>
      <fill>
        <patternFill>
          <bgColor rgb="FFFFC7CE"/>
        </patternFill>
      </fill>
    </dxf>
    <dxf>
      <font>
        <color rgb="FF9C0006"/>
      </font>
      <fill>
        <patternFill>
          <bgColor rgb="FFFFC7CE"/>
        </patternFill>
      </fill>
    </dxf>
    <dxf>
      <fill>
        <patternFill patternType="solid">
          <fgColor theme="9" tint="-0.499984740745262"/>
          <bgColor theme="9" tint="0.59996337778862885"/>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#1!PivotTable1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OUTSTANDING</a:t>
            </a:r>
            <a:r>
              <a:rPr lang="en-US" b="1" baseline="0"/>
              <a:t>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#1'!$B$1</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'Pivot Table #1'!$A$2:$A$5</c:f>
              <c:strCache>
                <c:ptCount val="3"/>
                <c:pt idx="0">
                  <c:v>1 Year+</c:v>
                </c:pt>
                <c:pt idx="1">
                  <c:v>91-365</c:v>
                </c:pt>
                <c:pt idx="2">
                  <c:v>Settled</c:v>
                </c:pt>
              </c:strCache>
            </c:strRef>
          </c:cat>
          <c:val>
            <c:numRef>
              <c:f>'Pivot Table #1'!$B$2:$B$5</c:f>
              <c:numCache>
                <c:formatCode>_(* #,##0.00_);_(* \(#,##0.00\);_(* "-"??_);_(@_)</c:formatCode>
                <c:ptCount val="3"/>
                <c:pt idx="0">
                  <c:v>985364.42475000094</c:v>
                </c:pt>
                <c:pt idx="1">
                  <c:v>146779.17775000003</c:v>
                </c:pt>
                <c:pt idx="2">
                  <c:v>0</c:v>
                </c:pt>
              </c:numCache>
            </c:numRef>
          </c:val>
          <c:extLst>
            <c:ext xmlns:c16="http://schemas.microsoft.com/office/drawing/2014/chart" uri="{C3380CC4-5D6E-409C-BE32-E72D297353CC}">
              <c16:uniqueId val="{00000000-6B90-4FD1-A1F6-59E3EA1D2F3A}"/>
            </c:ext>
          </c:extLst>
        </c:ser>
        <c:dLbls>
          <c:showLegendKey val="0"/>
          <c:showVal val="0"/>
          <c:showCatName val="0"/>
          <c:showSerName val="0"/>
          <c:showPercent val="0"/>
          <c:showBubbleSize val="0"/>
        </c:dLbls>
        <c:gapWidth val="150"/>
        <c:shape val="box"/>
        <c:axId val="1330877520"/>
        <c:axId val="1330878000"/>
        <c:axId val="0"/>
      </c:bar3DChart>
      <c:catAx>
        <c:axId val="133087752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overdue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878000"/>
        <c:crosses val="autoZero"/>
        <c:auto val="1"/>
        <c:lblAlgn val="ctr"/>
        <c:lblOffset val="100"/>
        <c:noMultiLvlLbl val="0"/>
      </c:catAx>
      <c:valAx>
        <c:axId val="133087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0"/>
                  <a:t>remaining balance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87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#2!PivotTable2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VENDORS BY OUTSTANDING BALANCE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#2'!$B$1</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'Pivot Table #2'!$A$2:$A$7</c:f>
              <c:strCache>
                <c:ptCount val="5"/>
                <c:pt idx="0">
                  <c:v>BluePrints</c:v>
                </c:pt>
                <c:pt idx="1">
                  <c:v>ABC Supplies</c:v>
                </c:pt>
                <c:pt idx="2">
                  <c:v>TechMart</c:v>
                </c:pt>
                <c:pt idx="3">
                  <c:v>Global Office</c:v>
                </c:pt>
                <c:pt idx="4">
                  <c:v>Fast Travel</c:v>
                </c:pt>
              </c:strCache>
            </c:strRef>
          </c:cat>
          <c:val>
            <c:numRef>
              <c:f>'Pivot Table #2'!$B$2:$B$7</c:f>
              <c:numCache>
                <c:formatCode>_(* #,##0.00_);_(* \(#,##0.00\);_(* "-"??_);_(@_)</c:formatCode>
                <c:ptCount val="5"/>
                <c:pt idx="0">
                  <c:v>256910.73485000004</c:v>
                </c:pt>
                <c:pt idx="1">
                  <c:v>232094.10689999984</c:v>
                </c:pt>
                <c:pt idx="2">
                  <c:v>216748.25770000007</c:v>
                </c:pt>
                <c:pt idx="3">
                  <c:v>214132.55554999999</c:v>
                </c:pt>
                <c:pt idx="4">
                  <c:v>212257.94750000007</c:v>
                </c:pt>
              </c:numCache>
            </c:numRef>
          </c:val>
          <c:extLst>
            <c:ext xmlns:c16="http://schemas.microsoft.com/office/drawing/2014/chart" uri="{C3380CC4-5D6E-409C-BE32-E72D297353CC}">
              <c16:uniqueId val="{00000000-CC25-4A71-9632-9F8339F4C074}"/>
            </c:ext>
          </c:extLst>
        </c:ser>
        <c:dLbls>
          <c:showLegendKey val="0"/>
          <c:showVal val="0"/>
          <c:showCatName val="0"/>
          <c:showSerName val="0"/>
          <c:showPercent val="0"/>
          <c:showBubbleSize val="0"/>
        </c:dLbls>
        <c:gapWidth val="150"/>
        <c:shape val="box"/>
        <c:axId val="1389370432"/>
        <c:axId val="1389368512"/>
        <c:axId val="0"/>
      </c:bar3DChart>
      <c:catAx>
        <c:axId val="138937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9368512"/>
        <c:crosses val="autoZero"/>
        <c:auto val="1"/>
        <c:lblAlgn val="ctr"/>
        <c:lblOffset val="100"/>
        <c:noMultiLvlLbl val="0"/>
      </c:catAx>
      <c:valAx>
        <c:axId val="13893685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REMAINING BALANCE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937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#3!PivotTable3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PAYMENT</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0952721884684311"/>
          <c:y val="0.17171296296296298"/>
          <c:w val="0.58993404224593871"/>
          <c:h val="0.77736111111111106"/>
        </c:manualLayout>
      </c:layout>
      <c:doughnutChart>
        <c:varyColors val="1"/>
        <c:ser>
          <c:idx val="0"/>
          <c:order val="0"/>
          <c:tx>
            <c:strRef>
              <c:f>'Pivot Table #3'!$B$1</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00F6-4A4F-96AA-1EFC2478A71C}"/>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8A7A-4EE4-9366-0E84725514B9}"/>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8A7A-4EE4-9366-0E84725514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#3'!$A$2:$A$5</c:f>
              <c:strCache>
                <c:ptCount val="3"/>
                <c:pt idx="0">
                  <c:v>Partial</c:v>
                </c:pt>
                <c:pt idx="1">
                  <c:v>Open</c:v>
                </c:pt>
                <c:pt idx="2">
                  <c:v>Paid</c:v>
                </c:pt>
              </c:strCache>
            </c:strRef>
          </c:cat>
          <c:val>
            <c:numRef>
              <c:f>'Pivot Table #3'!$B$2:$B$5</c:f>
              <c:numCache>
                <c:formatCode>General</c:formatCode>
                <c:ptCount val="3"/>
                <c:pt idx="0">
                  <c:v>276</c:v>
                </c:pt>
                <c:pt idx="1">
                  <c:v>267</c:v>
                </c:pt>
                <c:pt idx="2">
                  <c:v>257</c:v>
                </c:pt>
              </c:numCache>
            </c:numRef>
          </c:val>
          <c:extLst>
            <c:ext xmlns:c16="http://schemas.microsoft.com/office/drawing/2014/chart" uri="{C3380CC4-5D6E-409C-BE32-E72D297353CC}">
              <c16:uniqueId val="{00000000-00F6-4A4F-96AA-1EFC2478A7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407184697756795"/>
          <c:y val="0.44320501603966173"/>
          <c:w val="0.1682843601832045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#4!PivotTable1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AMOUNT</a:t>
            </a:r>
            <a:r>
              <a:rPr lang="en-US" b="1" baseline="0"/>
              <a:t> PER CURRENCY VS. AMOUNT IN USD</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#4'!$B$1</c:f>
              <c:strCache>
                <c:ptCount val="1"/>
                <c:pt idx="0">
                  <c:v>Amount per Currency</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 #4'!$A$2:$A$7</c:f>
              <c:strCache>
                <c:ptCount val="5"/>
                <c:pt idx="0">
                  <c:v>AUD</c:v>
                </c:pt>
                <c:pt idx="1">
                  <c:v>CAD</c:v>
                </c:pt>
                <c:pt idx="2">
                  <c:v>USD</c:v>
                </c:pt>
                <c:pt idx="3">
                  <c:v>GBP</c:v>
                </c:pt>
                <c:pt idx="4">
                  <c:v>EUR</c:v>
                </c:pt>
              </c:strCache>
            </c:strRef>
          </c:cat>
          <c:val>
            <c:numRef>
              <c:f>'Pivot Table #4'!$B$2:$B$7</c:f>
              <c:numCache>
                <c:formatCode>_(* #,##0.00_);_(* \(#,##0.00\);_(* "-"??_);_(@_)</c:formatCode>
                <c:ptCount val="5"/>
                <c:pt idx="0">
                  <c:v>472805.17999999982</c:v>
                </c:pt>
                <c:pt idx="1">
                  <c:v>389043.18000000023</c:v>
                </c:pt>
                <c:pt idx="2">
                  <c:v>429911.86000000016</c:v>
                </c:pt>
                <c:pt idx="3">
                  <c:v>451267.4200000001</c:v>
                </c:pt>
                <c:pt idx="4">
                  <c:v>344494.64999999997</c:v>
                </c:pt>
              </c:numCache>
            </c:numRef>
          </c:val>
          <c:extLst>
            <c:ext xmlns:c16="http://schemas.microsoft.com/office/drawing/2014/chart" uri="{C3380CC4-5D6E-409C-BE32-E72D297353CC}">
              <c16:uniqueId val="{00000000-58B7-4BCB-BC08-DC43A6DFCA2B}"/>
            </c:ext>
          </c:extLst>
        </c:ser>
        <c:dLbls>
          <c:showLegendKey val="0"/>
          <c:showVal val="0"/>
          <c:showCatName val="0"/>
          <c:showSerName val="0"/>
          <c:showPercent val="0"/>
          <c:showBubbleSize val="0"/>
        </c:dLbls>
        <c:gapWidth val="150"/>
        <c:axId val="1171336720"/>
        <c:axId val="1171343920"/>
      </c:barChart>
      <c:lineChart>
        <c:grouping val="stacked"/>
        <c:varyColors val="0"/>
        <c:ser>
          <c:idx val="1"/>
          <c:order val="1"/>
          <c:tx>
            <c:strRef>
              <c:f>'Pivot Table #4'!$C$1</c:f>
              <c:strCache>
                <c:ptCount val="1"/>
                <c:pt idx="0">
                  <c:v>Amount in USD </c:v>
                </c:pt>
              </c:strCache>
            </c:strRef>
          </c:tx>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cat>
            <c:strRef>
              <c:f>'Pivot Table #4'!$A$2:$A$7</c:f>
              <c:strCache>
                <c:ptCount val="5"/>
                <c:pt idx="0">
                  <c:v>AUD</c:v>
                </c:pt>
                <c:pt idx="1">
                  <c:v>CAD</c:v>
                </c:pt>
                <c:pt idx="2">
                  <c:v>USD</c:v>
                </c:pt>
                <c:pt idx="3">
                  <c:v>GBP</c:v>
                </c:pt>
                <c:pt idx="4">
                  <c:v>EUR</c:v>
                </c:pt>
              </c:strCache>
            </c:strRef>
          </c:cat>
          <c:val>
            <c:numRef>
              <c:f>'Pivot Table #4'!$C$2:$C$7</c:f>
              <c:numCache>
                <c:formatCode>_(* #,##0.00_);_(* \(#,##0.00\);_(* "-"??_);_(@_)</c:formatCode>
                <c:ptCount val="5"/>
                <c:pt idx="0">
                  <c:v>685567.51099999971</c:v>
                </c:pt>
                <c:pt idx="1">
                  <c:v>536879.58840000012</c:v>
                </c:pt>
                <c:pt idx="2">
                  <c:v>429911.86000000016</c:v>
                </c:pt>
                <c:pt idx="3">
                  <c:v>338450.56499999994</c:v>
                </c:pt>
                <c:pt idx="4">
                  <c:v>296265.39899999998</c:v>
                </c:pt>
              </c:numCache>
            </c:numRef>
          </c:val>
          <c:smooth val="0"/>
          <c:extLst>
            <c:ext xmlns:c16="http://schemas.microsoft.com/office/drawing/2014/chart" uri="{C3380CC4-5D6E-409C-BE32-E72D297353CC}">
              <c16:uniqueId val="{00000001-58B7-4BCB-BC08-DC43A6DFCA2B}"/>
            </c:ext>
          </c:extLst>
        </c:ser>
        <c:dLbls>
          <c:showLegendKey val="0"/>
          <c:showVal val="0"/>
          <c:showCatName val="0"/>
          <c:showSerName val="0"/>
          <c:showPercent val="0"/>
          <c:showBubbleSize val="0"/>
        </c:dLbls>
        <c:marker val="1"/>
        <c:smooth val="0"/>
        <c:axId val="1171336720"/>
        <c:axId val="1171343920"/>
      </c:lineChart>
      <c:catAx>
        <c:axId val="117133672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CURRENCY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1343920"/>
        <c:crosses val="autoZero"/>
        <c:auto val="1"/>
        <c:lblAlgn val="ctr"/>
        <c:lblOffset val="100"/>
        <c:noMultiLvlLbl val="0"/>
      </c:catAx>
      <c:valAx>
        <c:axId val="117134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133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#5!PivotTable2</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VENDORS BY</a:t>
            </a:r>
            <a:r>
              <a:rPr lang="en-US" b="1" baseline="0"/>
              <a:t> </a:t>
            </a:r>
            <a:r>
              <a:rPr lang="en-US" b="1"/>
              <a:t>CRITICAL</a:t>
            </a:r>
            <a:r>
              <a:rPr lang="en-US" b="1" baseline="0"/>
              <a:t> OUTSTANDING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#5'!$C$3</c:f>
              <c:strCache>
                <c:ptCount val="1"/>
                <c:pt idx="0">
                  <c:v> Remaining Balance</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 #5'!$A$4:$A$9</c:f>
              <c:strCache>
                <c:ptCount val="5"/>
                <c:pt idx="0">
                  <c:v>ABC Supplies</c:v>
                </c:pt>
                <c:pt idx="1">
                  <c:v>BluePrints</c:v>
                </c:pt>
                <c:pt idx="2">
                  <c:v>Fast Travel</c:v>
                </c:pt>
                <c:pt idx="3">
                  <c:v>Global Office</c:v>
                </c:pt>
                <c:pt idx="4">
                  <c:v>TechMart</c:v>
                </c:pt>
              </c:strCache>
            </c:strRef>
          </c:cat>
          <c:val>
            <c:numRef>
              <c:f>'Pivot Table #5'!$C$4:$C$9</c:f>
              <c:numCache>
                <c:formatCode>_(* #,##0.00_);_(* \(#,##0.00\);_(* "-"??_);_(@_)</c:formatCode>
                <c:ptCount val="5"/>
                <c:pt idx="0">
                  <c:v>232094.10689999984</c:v>
                </c:pt>
                <c:pt idx="1">
                  <c:v>256910.73485000004</c:v>
                </c:pt>
                <c:pt idx="2">
                  <c:v>212257.94750000007</c:v>
                </c:pt>
                <c:pt idx="3">
                  <c:v>214132.55554999999</c:v>
                </c:pt>
                <c:pt idx="4">
                  <c:v>216748.25770000007</c:v>
                </c:pt>
              </c:numCache>
            </c:numRef>
          </c:val>
          <c:extLst>
            <c:ext xmlns:c16="http://schemas.microsoft.com/office/drawing/2014/chart" uri="{C3380CC4-5D6E-409C-BE32-E72D297353CC}">
              <c16:uniqueId val="{00000001-82E2-43E7-B6B9-E18A934BA8FD}"/>
            </c:ext>
          </c:extLst>
        </c:ser>
        <c:dLbls>
          <c:showLegendKey val="0"/>
          <c:showVal val="0"/>
          <c:showCatName val="0"/>
          <c:showSerName val="0"/>
          <c:showPercent val="0"/>
          <c:showBubbleSize val="0"/>
        </c:dLbls>
        <c:gapWidth val="219"/>
        <c:axId val="1395124224"/>
        <c:axId val="1395124704"/>
      </c:barChart>
      <c:lineChart>
        <c:grouping val="standard"/>
        <c:varyColors val="0"/>
        <c:ser>
          <c:idx val="0"/>
          <c:order val="0"/>
          <c:tx>
            <c:strRef>
              <c:f>'Pivot Table #5'!$B$3</c:f>
              <c:strCache>
                <c:ptCount val="1"/>
                <c:pt idx="0">
                  <c:v>Remaining Balance %</c:v>
                </c:pt>
              </c:strCache>
            </c:strRef>
          </c:tx>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cat>
            <c:strRef>
              <c:f>'Pivot Table #5'!$A$4:$A$9</c:f>
              <c:strCache>
                <c:ptCount val="5"/>
                <c:pt idx="0">
                  <c:v>ABC Supplies</c:v>
                </c:pt>
                <c:pt idx="1">
                  <c:v>BluePrints</c:v>
                </c:pt>
                <c:pt idx="2">
                  <c:v>Fast Travel</c:v>
                </c:pt>
                <c:pt idx="3">
                  <c:v>Global Office</c:v>
                </c:pt>
                <c:pt idx="4">
                  <c:v>TechMart</c:v>
                </c:pt>
              </c:strCache>
            </c:strRef>
          </c:cat>
          <c:val>
            <c:numRef>
              <c:f>'Pivot Table #5'!$B$4:$B$9</c:f>
              <c:numCache>
                <c:formatCode>0.00%</c:formatCode>
                <c:ptCount val="5"/>
                <c:pt idx="0">
                  <c:v>0.20500412349413052</c:v>
                </c:pt>
                <c:pt idx="1">
                  <c:v>0.43192828248128523</c:v>
                </c:pt>
                <c:pt idx="2">
                  <c:v>0.61941151961771557</c:v>
                </c:pt>
                <c:pt idx="3">
                  <c:v>0.80855056088169686</c:v>
                </c:pt>
                <c:pt idx="4">
                  <c:v>1</c:v>
                </c:pt>
              </c:numCache>
            </c:numRef>
          </c:val>
          <c:smooth val="0"/>
          <c:extLst>
            <c:ext xmlns:c16="http://schemas.microsoft.com/office/drawing/2014/chart" uri="{C3380CC4-5D6E-409C-BE32-E72D297353CC}">
              <c16:uniqueId val="{00000000-82E2-43E7-B6B9-E18A934BA8FD}"/>
            </c:ext>
          </c:extLst>
        </c:ser>
        <c:dLbls>
          <c:showLegendKey val="0"/>
          <c:showVal val="0"/>
          <c:showCatName val="0"/>
          <c:showSerName val="0"/>
          <c:showPercent val="0"/>
          <c:showBubbleSize val="0"/>
        </c:dLbls>
        <c:marker val="1"/>
        <c:smooth val="0"/>
        <c:axId val="813696816"/>
        <c:axId val="813698736"/>
      </c:lineChart>
      <c:catAx>
        <c:axId val="1395124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5124704"/>
        <c:crosses val="autoZero"/>
        <c:auto val="1"/>
        <c:lblAlgn val="ctr"/>
        <c:lblOffset val="100"/>
        <c:noMultiLvlLbl val="0"/>
      </c:catAx>
      <c:valAx>
        <c:axId val="139512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remaining balance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5124224"/>
        <c:crosses val="autoZero"/>
        <c:crossBetween val="between"/>
      </c:valAx>
      <c:valAx>
        <c:axId val="813698736"/>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percentage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13696816"/>
        <c:crosses val="max"/>
        <c:crossBetween val="between"/>
      </c:valAx>
      <c:catAx>
        <c:axId val="813696816"/>
        <c:scaling>
          <c:orientation val="minMax"/>
        </c:scaling>
        <c:delete val="1"/>
        <c:axPos val="b"/>
        <c:numFmt formatCode="General" sourceLinked="1"/>
        <c:majorTickMark val="none"/>
        <c:minorTickMark val="none"/>
        <c:tickLblPos val="nextTo"/>
        <c:crossAx val="813698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[Accounts-Payable-Dashboard.xlsx]Pivot Table #6!PivotTable5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baseline="0"/>
              <a:t>VENDORS BY AMOUNT PAID</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#6'!$B$1</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invertIfNegative val="0"/>
          <c:cat>
            <c:strRef>
              <c:f>'Pivot Table #6'!$A$2:$A$7</c:f>
              <c:strCache>
                <c:ptCount val="5"/>
                <c:pt idx="0">
                  <c:v>ABC Supplies</c:v>
                </c:pt>
                <c:pt idx="1">
                  <c:v>BluePrints</c:v>
                </c:pt>
                <c:pt idx="2">
                  <c:v>Fast Travel</c:v>
                </c:pt>
                <c:pt idx="3">
                  <c:v>Global Office</c:v>
                </c:pt>
                <c:pt idx="4">
                  <c:v>TechMart</c:v>
                </c:pt>
              </c:strCache>
            </c:strRef>
          </c:cat>
          <c:val>
            <c:numRef>
              <c:f>'Pivot Table #6'!$B$2:$B$7</c:f>
              <c:numCache>
                <c:formatCode>_(* #,##0.00_);_(* \(#,##0.00\);_(* "-"??_);_(@_)</c:formatCode>
                <c:ptCount val="5"/>
                <c:pt idx="0">
                  <c:v>229289.54649999997</c:v>
                </c:pt>
                <c:pt idx="1">
                  <c:v>269100.68294999993</c:v>
                </c:pt>
                <c:pt idx="2">
                  <c:v>218115.64610000001</c:v>
                </c:pt>
                <c:pt idx="3">
                  <c:v>216492.26104999997</c:v>
                </c:pt>
                <c:pt idx="4">
                  <c:v>221933.18430000002</c:v>
                </c:pt>
              </c:numCache>
            </c:numRef>
          </c:val>
          <c:extLst>
            <c:ext xmlns:c16="http://schemas.microsoft.com/office/drawing/2014/chart" uri="{C3380CC4-5D6E-409C-BE32-E72D297353CC}">
              <c16:uniqueId val="{00000000-244B-4EF3-9FD7-A873A292A46B}"/>
            </c:ext>
          </c:extLst>
        </c:ser>
        <c:dLbls>
          <c:showLegendKey val="0"/>
          <c:showVal val="0"/>
          <c:showCatName val="0"/>
          <c:showSerName val="0"/>
          <c:showPercent val="0"/>
          <c:showBubbleSize val="0"/>
        </c:dLbls>
        <c:gapWidth val="150"/>
        <c:shape val="box"/>
        <c:axId val="1074462800"/>
        <c:axId val="1074457040"/>
        <c:axId val="0"/>
      </c:bar3DChart>
      <c:catAx>
        <c:axId val="107446280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74457040"/>
        <c:crosses val="autoZero"/>
        <c:auto val="1"/>
        <c:lblAlgn val="ctr"/>
        <c:lblOffset val="100"/>
        <c:noMultiLvlLbl val="0"/>
      </c:catAx>
      <c:valAx>
        <c:axId val="1074457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amount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744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#3!PivotTable3</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PAYMENT</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0952721884684311"/>
          <c:y val="0.17171296296296298"/>
          <c:w val="0.58993404224593871"/>
          <c:h val="0.77736111111111106"/>
        </c:manualLayout>
      </c:layout>
      <c:doughnutChart>
        <c:varyColors val="1"/>
        <c:ser>
          <c:idx val="0"/>
          <c:order val="0"/>
          <c:tx>
            <c:strRef>
              <c:f>'Pivot Table #3'!$B$1</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382-4856-AE98-65B821D2054F}"/>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382-4856-AE98-65B821D2054F}"/>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382-4856-AE98-65B821D205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#3'!$A$2:$A$5</c:f>
              <c:strCache>
                <c:ptCount val="3"/>
                <c:pt idx="0">
                  <c:v>Partial</c:v>
                </c:pt>
                <c:pt idx="1">
                  <c:v>Open</c:v>
                </c:pt>
                <c:pt idx="2">
                  <c:v>Paid</c:v>
                </c:pt>
              </c:strCache>
            </c:strRef>
          </c:cat>
          <c:val>
            <c:numRef>
              <c:f>'Pivot Table #3'!$B$2:$B$5</c:f>
              <c:numCache>
                <c:formatCode>General</c:formatCode>
                <c:ptCount val="3"/>
                <c:pt idx="0">
                  <c:v>276</c:v>
                </c:pt>
                <c:pt idx="1">
                  <c:v>267</c:v>
                </c:pt>
                <c:pt idx="2">
                  <c:v>257</c:v>
                </c:pt>
              </c:numCache>
            </c:numRef>
          </c:val>
          <c:extLst>
            <c:ext xmlns:c16="http://schemas.microsoft.com/office/drawing/2014/chart" uri="{C3380CC4-5D6E-409C-BE32-E72D297353CC}">
              <c16:uniqueId val="{00000006-9382-4856-AE98-65B821D205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407184697756795"/>
          <c:y val="0.44320501603966173"/>
          <c:w val="0.1682843601832045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[Accounts-Payable-Dashboard.xlsx]Pivot Table #6!PivotTable5</c:name>
    <c:fmtId val="2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baseline="0"/>
              <a:t>VENDORS BY AMOUNT PAID</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#6'!$B$1</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4">
                  <a:shade val="95000"/>
                </a:schemeClr>
              </a:contourClr>
            </a:sp3d>
          </c:spPr>
          <c:invertIfNegative val="0"/>
          <c:cat>
            <c:strRef>
              <c:f>'Pivot Table #6'!$A$2:$A$7</c:f>
              <c:strCache>
                <c:ptCount val="5"/>
                <c:pt idx="0">
                  <c:v>ABC Supplies</c:v>
                </c:pt>
                <c:pt idx="1">
                  <c:v>BluePrints</c:v>
                </c:pt>
                <c:pt idx="2">
                  <c:v>Fast Travel</c:v>
                </c:pt>
                <c:pt idx="3">
                  <c:v>Global Office</c:v>
                </c:pt>
                <c:pt idx="4">
                  <c:v>TechMart</c:v>
                </c:pt>
              </c:strCache>
            </c:strRef>
          </c:cat>
          <c:val>
            <c:numRef>
              <c:f>'Pivot Table #6'!$B$2:$B$7</c:f>
              <c:numCache>
                <c:formatCode>_(* #,##0.00_);_(* \(#,##0.00\);_(* "-"??_);_(@_)</c:formatCode>
                <c:ptCount val="5"/>
                <c:pt idx="0">
                  <c:v>229289.54649999997</c:v>
                </c:pt>
                <c:pt idx="1">
                  <c:v>269100.68294999993</c:v>
                </c:pt>
                <c:pt idx="2">
                  <c:v>218115.64610000001</c:v>
                </c:pt>
                <c:pt idx="3">
                  <c:v>216492.26104999997</c:v>
                </c:pt>
                <c:pt idx="4">
                  <c:v>221933.18430000002</c:v>
                </c:pt>
              </c:numCache>
            </c:numRef>
          </c:val>
          <c:extLst>
            <c:ext xmlns:c16="http://schemas.microsoft.com/office/drawing/2014/chart" uri="{C3380CC4-5D6E-409C-BE32-E72D297353CC}">
              <c16:uniqueId val="{00000000-8A26-47F7-B4F3-25E4691103D8}"/>
            </c:ext>
          </c:extLst>
        </c:ser>
        <c:dLbls>
          <c:showLegendKey val="0"/>
          <c:showVal val="0"/>
          <c:showCatName val="0"/>
          <c:showSerName val="0"/>
          <c:showPercent val="0"/>
          <c:showBubbleSize val="0"/>
        </c:dLbls>
        <c:gapWidth val="150"/>
        <c:shape val="box"/>
        <c:axId val="1074462800"/>
        <c:axId val="1074457040"/>
        <c:axId val="0"/>
      </c:bar3DChart>
      <c:catAx>
        <c:axId val="107446280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74457040"/>
        <c:crosses val="autoZero"/>
        <c:auto val="1"/>
        <c:lblAlgn val="ctr"/>
        <c:lblOffset val="100"/>
        <c:noMultiLvlLbl val="0"/>
      </c:catAx>
      <c:valAx>
        <c:axId val="1074457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amount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744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#5!PivotTable2</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VENDORS BY</a:t>
            </a:r>
            <a:r>
              <a:rPr lang="en-US" b="1" baseline="0"/>
              <a:t> </a:t>
            </a:r>
            <a:r>
              <a:rPr lang="en-US" b="1"/>
              <a:t>CRITICAL</a:t>
            </a:r>
            <a:r>
              <a:rPr lang="en-US" b="1" baseline="0"/>
              <a:t> OUTSTANDING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#5'!$C$3</c:f>
              <c:strCache>
                <c:ptCount val="1"/>
                <c:pt idx="0">
                  <c:v> Remaining Balance</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 #5'!$A$4:$A$9</c:f>
              <c:strCache>
                <c:ptCount val="5"/>
                <c:pt idx="0">
                  <c:v>ABC Supplies</c:v>
                </c:pt>
                <c:pt idx="1">
                  <c:v>BluePrints</c:v>
                </c:pt>
                <c:pt idx="2">
                  <c:v>Fast Travel</c:v>
                </c:pt>
                <c:pt idx="3">
                  <c:v>Global Office</c:v>
                </c:pt>
                <c:pt idx="4">
                  <c:v>TechMart</c:v>
                </c:pt>
              </c:strCache>
            </c:strRef>
          </c:cat>
          <c:val>
            <c:numRef>
              <c:f>'Pivot Table #5'!$C$4:$C$9</c:f>
              <c:numCache>
                <c:formatCode>_(* #,##0.00_);_(* \(#,##0.00\);_(* "-"??_);_(@_)</c:formatCode>
                <c:ptCount val="5"/>
                <c:pt idx="0">
                  <c:v>232094.10689999984</c:v>
                </c:pt>
                <c:pt idx="1">
                  <c:v>256910.73485000004</c:v>
                </c:pt>
                <c:pt idx="2">
                  <c:v>212257.94750000007</c:v>
                </c:pt>
                <c:pt idx="3">
                  <c:v>214132.55554999999</c:v>
                </c:pt>
                <c:pt idx="4">
                  <c:v>216748.25770000007</c:v>
                </c:pt>
              </c:numCache>
            </c:numRef>
          </c:val>
          <c:extLst>
            <c:ext xmlns:c16="http://schemas.microsoft.com/office/drawing/2014/chart" uri="{C3380CC4-5D6E-409C-BE32-E72D297353CC}">
              <c16:uniqueId val="{00000000-BDC3-478B-9CD8-55DB8CD923F9}"/>
            </c:ext>
          </c:extLst>
        </c:ser>
        <c:dLbls>
          <c:showLegendKey val="0"/>
          <c:showVal val="0"/>
          <c:showCatName val="0"/>
          <c:showSerName val="0"/>
          <c:showPercent val="0"/>
          <c:showBubbleSize val="0"/>
        </c:dLbls>
        <c:gapWidth val="219"/>
        <c:axId val="1395124224"/>
        <c:axId val="1395124704"/>
      </c:barChart>
      <c:lineChart>
        <c:grouping val="standard"/>
        <c:varyColors val="0"/>
        <c:ser>
          <c:idx val="0"/>
          <c:order val="0"/>
          <c:tx>
            <c:strRef>
              <c:f>'Pivot Table #5'!$B$3</c:f>
              <c:strCache>
                <c:ptCount val="1"/>
                <c:pt idx="0">
                  <c:v>Remaining Balance %</c:v>
                </c:pt>
              </c:strCache>
            </c:strRef>
          </c:tx>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cat>
            <c:strRef>
              <c:f>'Pivot Table #5'!$A$4:$A$9</c:f>
              <c:strCache>
                <c:ptCount val="5"/>
                <c:pt idx="0">
                  <c:v>ABC Supplies</c:v>
                </c:pt>
                <c:pt idx="1">
                  <c:v>BluePrints</c:v>
                </c:pt>
                <c:pt idx="2">
                  <c:v>Fast Travel</c:v>
                </c:pt>
                <c:pt idx="3">
                  <c:v>Global Office</c:v>
                </c:pt>
                <c:pt idx="4">
                  <c:v>TechMart</c:v>
                </c:pt>
              </c:strCache>
            </c:strRef>
          </c:cat>
          <c:val>
            <c:numRef>
              <c:f>'Pivot Table #5'!$B$4:$B$9</c:f>
              <c:numCache>
                <c:formatCode>0.00%</c:formatCode>
                <c:ptCount val="5"/>
                <c:pt idx="0">
                  <c:v>0.20500412349413052</c:v>
                </c:pt>
                <c:pt idx="1">
                  <c:v>0.43192828248128523</c:v>
                </c:pt>
                <c:pt idx="2">
                  <c:v>0.61941151961771557</c:v>
                </c:pt>
                <c:pt idx="3">
                  <c:v>0.80855056088169686</c:v>
                </c:pt>
                <c:pt idx="4">
                  <c:v>1</c:v>
                </c:pt>
              </c:numCache>
            </c:numRef>
          </c:val>
          <c:smooth val="0"/>
          <c:extLst>
            <c:ext xmlns:c16="http://schemas.microsoft.com/office/drawing/2014/chart" uri="{C3380CC4-5D6E-409C-BE32-E72D297353CC}">
              <c16:uniqueId val="{00000001-BDC3-478B-9CD8-55DB8CD923F9}"/>
            </c:ext>
          </c:extLst>
        </c:ser>
        <c:dLbls>
          <c:showLegendKey val="0"/>
          <c:showVal val="0"/>
          <c:showCatName val="0"/>
          <c:showSerName val="0"/>
          <c:showPercent val="0"/>
          <c:showBubbleSize val="0"/>
        </c:dLbls>
        <c:marker val="1"/>
        <c:smooth val="0"/>
        <c:axId val="813696816"/>
        <c:axId val="813698736"/>
      </c:lineChart>
      <c:catAx>
        <c:axId val="1395124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5124704"/>
        <c:crosses val="autoZero"/>
        <c:auto val="1"/>
        <c:lblAlgn val="ctr"/>
        <c:lblOffset val="100"/>
        <c:noMultiLvlLbl val="0"/>
      </c:catAx>
      <c:valAx>
        <c:axId val="139512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remaining balance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5124224"/>
        <c:crosses val="autoZero"/>
        <c:crossBetween val="between"/>
      </c:valAx>
      <c:valAx>
        <c:axId val="813698736"/>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percentage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13696816"/>
        <c:crosses val="max"/>
        <c:crossBetween val="between"/>
      </c:valAx>
      <c:catAx>
        <c:axId val="813696816"/>
        <c:scaling>
          <c:orientation val="minMax"/>
        </c:scaling>
        <c:delete val="1"/>
        <c:axPos val="b"/>
        <c:numFmt formatCode="General" sourceLinked="1"/>
        <c:majorTickMark val="none"/>
        <c:minorTickMark val="none"/>
        <c:tickLblPos val="nextTo"/>
        <c:crossAx val="813698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#2!PivotTable2</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VENDORS BY OUTSTANDING BALANCE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#2'!$B$1</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'Pivot Table #2'!$A$2:$A$7</c:f>
              <c:strCache>
                <c:ptCount val="5"/>
                <c:pt idx="0">
                  <c:v>BluePrints</c:v>
                </c:pt>
                <c:pt idx="1">
                  <c:v>ABC Supplies</c:v>
                </c:pt>
                <c:pt idx="2">
                  <c:v>TechMart</c:v>
                </c:pt>
                <c:pt idx="3">
                  <c:v>Global Office</c:v>
                </c:pt>
                <c:pt idx="4">
                  <c:v>Fast Travel</c:v>
                </c:pt>
              </c:strCache>
            </c:strRef>
          </c:cat>
          <c:val>
            <c:numRef>
              <c:f>'Pivot Table #2'!$B$2:$B$7</c:f>
              <c:numCache>
                <c:formatCode>_(* #,##0.00_);_(* \(#,##0.00\);_(* "-"??_);_(@_)</c:formatCode>
                <c:ptCount val="5"/>
                <c:pt idx="0">
                  <c:v>256910.73485000004</c:v>
                </c:pt>
                <c:pt idx="1">
                  <c:v>232094.10689999984</c:v>
                </c:pt>
                <c:pt idx="2">
                  <c:v>216748.25770000007</c:v>
                </c:pt>
                <c:pt idx="3">
                  <c:v>214132.55554999999</c:v>
                </c:pt>
                <c:pt idx="4">
                  <c:v>212257.94750000007</c:v>
                </c:pt>
              </c:numCache>
            </c:numRef>
          </c:val>
          <c:extLst>
            <c:ext xmlns:c16="http://schemas.microsoft.com/office/drawing/2014/chart" uri="{C3380CC4-5D6E-409C-BE32-E72D297353CC}">
              <c16:uniqueId val="{00000000-6E5E-4BE9-AC4D-2C020AAAECAD}"/>
            </c:ext>
          </c:extLst>
        </c:ser>
        <c:dLbls>
          <c:showLegendKey val="0"/>
          <c:showVal val="0"/>
          <c:showCatName val="0"/>
          <c:showSerName val="0"/>
          <c:showPercent val="0"/>
          <c:showBubbleSize val="0"/>
        </c:dLbls>
        <c:gapWidth val="150"/>
        <c:shape val="box"/>
        <c:axId val="1389370432"/>
        <c:axId val="1389368512"/>
        <c:axId val="0"/>
      </c:bar3DChart>
      <c:catAx>
        <c:axId val="138937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VENDOR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9368512"/>
        <c:crosses val="autoZero"/>
        <c:auto val="1"/>
        <c:lblAlgn val="ctr"/>
        <c:lblOffset val="100"/>
        <c:noMultiLvlLbl val="0"/>
      </c:catAx>
      <c:valAx>
        <c:axId val="13893685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REMAINING BALANCE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937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#4!PivotTable1</c:name>
    <c:fmtId val="2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AMOUNT</a:t>
            </a:r>
            <a:r>
              <a:rPr lang="en-US" b="1" baseline="0"/>
              <a:t> PER CURRENCY VS. AMOUNT IN USD</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#4'!$B$1</c:f>
              <c:strCache>
                <c:ptCount val="1"/>
                <c:pt idx="0">
                  <c:v>Amount per Currency</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 #4'!$A$2:$A$7</c:f>
              <c:strCache>
                <c:ptCount val="5"/>
                <c:pt idx="0">
                  <c:v>AUD</c:v>
                </c:pt>
                <c:pt idx="1">
                  <c:v>CAD</c:v>
                </c:pt>
                <c:pt idx="2">
                  <c:v>USD</c:v>
                </c:pt>
                <c:pt idx="3">
                  <c:v>GBP</c:v>
                </c:pt>
                <c:pt idx="4">
                  <c:v>EUR</c:v>
                </c:pt>
              </c:strCache>
            </c:strRef>
          </c:cat>
          <c:val>
            <c:numRef>
              <c:f>'Pivot Table #4'!$B$2:$B$7</c:f>
              <c:numCache>
                <c:formatCode>_(* #,##0.00_);_(* \(#,##0.00\);_(* "-"??_);_(@_)</c:formatCode>
                <c:ptCount val="5"/>
                <c:pt idx="0">
                  <c:v>472805.17999999982</c:v>
                </c:pt>
                <c:pt idx="1">
                  <c:v>389043.18000000023</c:v>
                </c:pt>
                <c:pt idx="2">
                  <c:v>429911.86000000016</c:v>
                </c:pt>
                <c:pt idx="3">
                  <c:v>451267.4200000001</c:v>
                </c:pt>
                <c:pt idx="4">
                  <c:v>344494.64999999997</c:v>
                </c:pt>
              </c:numCache>
            </c:numRef>
          </c:val>
          <c:extLst>
            <c:ext xmlns:c16="http://schemas.microsoft.com/office/drawing/2014/chart" uri="{C3380CC4-5D6E-409C-BE32-E72D297353CC}">
              <c16:uniqueId val="{00000000-DAA5-4CAB-A1D9-78F5A598B2E0}"/>
            </c:ext>
          </c:extLst>
        </c:ser>
        <c:dLbls>
          <c:showLegendKey val="0"/>
          <c:showVal val="0"/>
          <c:showCatName val="0"/>
          <c:showSerName val="0"/>
          <c:showPercent val="0"/>
          <c:showBubbleSize val="0"/>
        </c:dLbls>
        <c:gapWidth val="150"/>
        <c:axId val="1171336720"/>
        <c:axId val="1171343920"/>
      </c:barChart>
      <c:lineChart>
        <c:grouping val="stacked"/>
        <c:varyColors val="0"/>
        <c:ser>
          <c:idx val="1"/>
          <c:order val="1"/>
          <c:tx>
            <c:strRef>
              <c:f>'Pivot Table #4'!$C$1</c:f>
              <c:strCache>
                <c:ptCount val="1"/>
                <c:pt idx="0">
                  <c:v>Amount in USD </c:v>
                </c:pt>
              </c:strCache>
            </c:strRef>
          </c:tx>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cat>
            <c:strRef>
              <c:f>'Pivot Table #4'!$A$2:$A$7</c:f>
              <c:strCache>
                <c:ptCount val="5"/>
                <c:pt idx="0">
                  <c:v>AUD</c:v>
                </c:pt>
                <c:pt idx="1">
                  <c:v>CAD</c:v>
                </c:pt>
                <c:pt idx="2">
                  <c:v>USD</c:v>
                </c:pt>
                <c:pt idx="3">
                  <c:v>GBP</c:v>
                </c:pt>
                <c:pt idx="4">
                  <c:v>EUR</c:v>
                </c:pt>
              </c:strCache>
            </c:strRef>
          </c:cat>
          <c:val>
            <c:numRef>
              <c:f>'Pivot Table #4'!$C$2:$C$7</c:f>
              <c:numCache>
                <c:formatCode>_(* #,##0.00_);_(* \(#,##0.00\);_(* "-"??_);_(@_)</c:formatCode>
                <c:ptCount val="5"/>
                <c:pt idx="0">
                  <c:v>685567.51099999971</c:v>
                </c:pt>
                <c:pt idx="1">
                  <c:v>536879.58840000012</c:v>
                </c:pt>
                <c:pt idx="2">
                  <c:v>429911.86000000016</c:v>
                </c:pt>
                <c:pt idx="3">
                  <c:v>338450.56499999994</c:v>
                </c:pt>
                <c:pt idx="4">
                  <c:v>296265.39899999998</c:v>
                </c:pt>
              </c:numCache>
            </c:numRef>
          </c:val>
          <c:smooth val="0"/>
          <c:extLst>
            <c:ext xmlns:c16="http://schemas.microsoft.com/office/drawing/2014/chart" uri="{C3380CC4-5D6E-409C-BE32-E72D297353CC}">
              <c16:uniqueId val="{00000001-DAA5-4CAB-A1D9-78F5A598B2E0}"/>
            </c:ext>
          </c:extLst>
        </c:ser>
        <c:dLbls>
          <c:showLegendKey val="0"/>
          <c:showVal val="0"/>
          <c:showCatName val="0"/>
          <c:showSerName val="0"/>
          <c:showPercent val="0"/>
          <c:showBubbleSize val="0"/>
        </c:dLbls>
        <c:marker val="1"/>
        <c:smooth val="0"/>
        <c:axId val="1171336720"/>
        <c:axId val="1171343920"/>
      </c:lineChart>
      <c:catAx>
        <c:axId val="117133672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CURRENCY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1343920"/>
        <c:crosses val="autoZero"/>
        <c:auto val="1"/>
        <c:lblAlgn val="ctr"/>
        <c:lblOffset val="100"/>
        <c:noMultiLvlLbl val="0"/>
      </c:catAx>
      <c:valAx>
        <c:axId val="117134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133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[Accounts-Payable-Dashboard.xlsx]Pivot Table #1!PivotTable1</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OUTSTANDING</a:t>
            </a:r>
            <a:r>
              <a:rPr lang="en-US" b="1" baseline="0"/>
              <a:t>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#1'!$B$1</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'Pivot Table #1'!$A$2:$A$5</c:f>
              <c:strCache>
                <c:ptCount val="3"/>
                <c:pt idx="0">
                  <c:v>1 Year+</c:v>
                </c:pt>
                <c:pt idx="1">
                  <c:v>91-365</c:v>
                </c:pt>
                <c:pt idx="2">
                  <c:v>Settled</c:v>
                </c:pt>
              </c:strCache>
            </c:strRef>
          </c:cat>
          <c:val>
            <c:numRef>
              <c:f>'Pivot Table #1'!$B$2:$B$5</c:f>
              <c:numCache>
                <c:formatCode>_(* #,##0.00_);_(* \(#,##0.00\);_(* "-"??_);_(@_)</c:formatCode>
                <c:ptCount val="3"/>
                <c:pt idx="0">
                  <c:v>985364.42475000094</c:v>
                </c:pt>
                <c:pt idx="1">
                  <c:v>146779.17775000003</c:v>
                </c:pt>
                <c:pt idx="2">
                  <c:v>0</c:v>
                </c:pt>
              </c:numCache>
            </c:numRef>
          </c:val>
          <c:extLst>
            <c:ext xmlns:c16="http://schemas.microsoft.com/office/drawing/2014/chart" uri="{C3380CC4-5D6E-409C-BE32-E72D297353CC}">
              <c16:uniqueId val="{00000000-9551-4DA8-97B9-3E83650495B9}"/>
            </c:ext>
          </c:extLst>
        </c:ser>
        <c:dLbls>
          <c:showLegendKey val="0"/>
          <c:showVal val="0"/>
          <c:showCatName val="0"/>
          <c:showSerName val="0"/>
          <c:showPercent val="0"/>
          <c:showBubbleSize val="0"/>
        </c:dLbls>
        <c:gapWidth val="150"/>
        <c:shape val="box"/>
        <c:axId val="1330877520"/>
        <c:axId val="1330878000"/>
        <c:axId val="0"/>
      </c:bar3DChart>
      <c:catAx>
        <c:axId val="133087752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overdue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878000"/>
        <c:crosses val="autoZero"/>
        <c:auto val="1"/>
        <c:lblAlgn val="ctr"/>
        <c:lblOffset val="100"/>
        <c:noMultiLvlLbl val="0"/>
      </c:catAx>
      <c:valAx>
        <c:axId val="133087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0"/>
                  <a:t>remaining balance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87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109536</xdr:rowOff>
    </xdr:from>
    <xdr:to>
      <xdr:col>12</xdr:col>
      <xdr:colOff>361950</xdr:colOff>
      <xdr:row>19</xdr:row>
      <xdr:rowOff>38100</xdr:rowOff>
    </xdr:to>
    <xdr:graphicFrame macro="">
      <xdr:nvGraphicFramePr>
        <xdr:cNvPr id="2" name="Chart 1">
          <a:extLst>
            <a:ext uri="{FF2B5EF4-FFF2-40B4-BE49-F238E27FC236}">
              <a16:creationId xmlns:a16="http://schemas.microsoft.com/office/drawing/2014/main" id="{B2605183-15D0-AD60-F9BA-4AE30F36F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280987</xdr:colOff>
      <xdr:row>1</xdr:row>
      <xdr:rowOff>14287</xdr:rowOff>
    </xdr:from>
    <xdr:to>
      <xdr:col>13</xdr:col>
      <xdr:colOff>257175</xdr:colOff>
      <xdr:row>17</xdr:row>
      <xdr:rowOff>66675</xdr:rowOff>
    </xdr:to>
    <xdr:graphicFrame macro="">
      <xdr:nvGraphicFramePr>
        <xdr:cNvPr id="2" name="Chart 1">
          <a:extLst>
            <a:ext uri="{FF2B5EF4-FFF2-40B4-BE49-F238E27FC236}">
              <a16:creationId xmlns:a16="http://schemas.microsoft.com/office/drawing/2014/main" id="{8D3A837C-C550-3D15-BDA0-2A6706108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42862</xdr:colOff>
      <xdr:row>0</xdr:row>
      <xdr:rowOff>157162</xdr:rowOff>
    </xdr:from>
    <xdr:to>
      <xdr:col>7</xdr:col>
      <xdr:colOff>581025</xdr:colOff>
      <xdr:row>15</xdr:row>
      <xdr:rowOff>42862</xdr:rowOff>
    </xdr:to>
    <xdr:graphicFrame macro="">
      <xdr:nvGraphicFramePr>
        <xdr:cNvPr id="2" name="Chart 1">
          <a:extLst>
            <a:ext uri="{FF2B5EF4-FFF2-40B4-BE49-F238E27FC236}">
              <a16:creationId xmlns:a16="http://schemas.microsoft.com/office/drawing/2014/main" id="{916DB024-CB14-844E-ADE2-370E57D49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595312</xdr:colOff>
      <xdr:row>0</xdr:row>
      <xdr:rowOff>147636</xdr:rowOff>
    </xdr:from>
    <xdr:to>
      <xdr:col>15</xdr:col>
      <xdr:colOff>133350</xdr:colOff>
      <xdr:row>17</xdr:row>
      <xdr:rowOff>76199</xdr:rowOff>
    </xdr:to>
    <xdr:graphicFrame macro="">
      <xdr:nvGraphicFramePr>
        <xdr:cNvPr id="2" name="Chart 1">
          <a:extLst>
            <a:ext uri="{FF2B5EF4-FFF2-40B4-BE49-F238E27FC236}">
              <a16:creationId xmlns:a16="http://schemas.microsoft.com/office/drawing/2014/main" id="{708687A0-2D08-949C-107C-90B38F317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457199</xdr:colOff>
      <xdr:row>0</xdr:row>
      <xdr:rowOff>157161</xdr:rowOff>
    </xdr:from>
    <xdr:to>
      <xdr:col>14</xdr:col>
      <xdr:colOff>238125</xdr:colOff>
      <xdr:row>18</xdr:row>
      <xdr:rowOff>38100</xdr:rowOff>
    </xdr:to>
    <xdr:graphicFrame macro="">
      <xdr:nvGraphicFramePr>
        <xdr:cNvPr id="3" name="Chart 2">
          <a:extLst>
            <a:ext uri="{FF2B5EF4-FFF2-40B4-BE49-F238E27FC236}">
              <a16:creationId xmlns:a16="http://schemas.microsoft.com/office/drawing/2014/main" id="{E205C15E-4759-F143-BB1D-47C9E8649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0</xdr:row>
      <xdr:rowOff>109537</xdr:rowOff>
    </xdr:from>
    <xdr:to>
      <xdr:col>14</xdr:col>
      <xdr:colOff>152400</xdr:colOff>
      <xdr:row>19</xdr:row>
      <xdr:rowOff>123825</xdr:rowOff>
    </xdr:to>
    <xdr:graphicFrame macro="">
      <xdr:nvGraphicFramePr>
        <xdr:cNvPr id="2" name="Chart 1">
          <a:extLst>
            <a:ext uri="{FF2B5EF4-FFF2-40B4-BE49-F238E27FC236}">
              <a16:creationId xmlns:a16="http://schemas.microsoft.com/office/drawing/2014/main" id="{EFBAAB86-36A2-7E7A-5B5F-791AE278F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160636</xdr:colOff>
      <xdr:row>7</xdr:row>
      <xdr:rowOff>63767</xdr:rowOff>
    </xdr:from>
    <xdr:to>
      <xdr:col>21</xdr:col>
      <xdr:colOff>129155</xdr:colOff>
      <xdr:row>16</xdr:row>
      <xdr:rowOff>129154</xdr:rowOff>
    </xdr:to>
    <xdr:sp macro="" textlink="'Working Sheet'!S2">
      <xdr:nvSpPr>
        <xdr:cNvPr id="2" name="Rectangle: Rounded Corners 1">
          <a:extLst>
            <a:ext uri="{FF2B5EF4-FFF2-40B4-BE49-F238E27FC236}">
              <a16:creationId xmlns:a16="http://schemas.microsoft.com/office/drawing/2014/main" id="{944DF9D3-C951-E29E-A90B-D505D84A1EBA}"/>
            </a:ext>
          </a:extLst>
        </xdr:cNvPr>
        <xdr:cNvSpPr/>
      </xdr:nvSpPr>
      <xdr:spPr>
        <a:xfrm>
          <a:off x="8749280" y="1419869"/>
          <a:ext cx="4262841" cy="1808946"/>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16200000" scaled="1"/>
          <a:tileRect/>
        </a:gradFill>
        <a:ln>
          <a:noFill/>
        </a:ln>
        <a:effectLst>
          <a:outerShdw blurRad="50800" dist="38100" dir="5400000" algn="t"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1800" b="1" i="0" u="none" strike="noStrike">
              <a:solidFill>
                <a:srgbClr val="000000"/>
              </a:solidFill>
              <a:latin typeface="Calibri"/>
              <a:cs typeface="Calibri"/>
            </a:rPr>
            <a:t>Debt Count</a:t>
          </a:r>
        </a:p>
        <a:p>
          <a:pPr algn="l"/>
          <a:endParaRPr lang="en-US" sz="1800" b="1" i="0" u="none" strike="noStrike">
            <a:solidFill>
              <a:srgbClr val="000000"/>
            </a:solidFill>
            <a:latin typeface="Calibri"/>
            <a:cs typeface="Calibri"/>
          </a:endParaRPr>
        </a:p>
        <a:p>
          <a:pPr algn="l"/>
          <a:fld id="{A749D176-11DE-439E-A9A0-109B070C7CA4}" type="TxLink">
            <a:rPr lang="en-US" sz="1800" b="1" i="0" u="none" strike="noStrike">
              <a:solidFill>
                <a:srgbClr val="000000"/>
              </a:solidFill>
              <a:latin typeface="Calibri"/>
              <a:cs typeface="Calibri"/>
            </a:rPr>
            <a:pPr algn="l"/>
            <a:t>543</a:t>
          </a:fld>
          <a:endParaRPr lang="en-US" sz="1800" b="1">
            <a:solidFill>
              <a:schemeClr val="accent2">
                <a:lumMod val="50000"/>
              </a:schemeClr>
            </a:solidFill>
          </a:endParaRPr>
        </a:p>
      </xdr:txBody>
    </xdr:sp>
    <xdr:clientData/>
  </xdr:twoCellAnchor>
  <xdr:twoCellAnchor>
    <xdr:from>
      <xdr:col>0</xdr:col>
      <xdr:colOff>63769</xdr:colOff>
      <xdr:row>7</xdr:row>
      <xdr:rowOff>47623</xdr:rowOff>
    </xdr:from>
    <xdr:to>
      <xdr:col>7</xdr:col>
      <xdr:colOff>32288</xdr:colOff>
      <xdr:row>16</xdr:row>
      <xdr:rowOff>113010</xdr:rowOff>
    </xdr:to>
    <xdr:sp macro="" textlink="'Working Sheet'!P2">
      <xdr:nvSpPr>
        <xdr:cNvPr id="3" name="Rectangle: Rounded Corners 2">
          <a:extLst>
            <a:ext uri="{FF2B5EF4-FFF2-40B4-BE49-F238E27FC236}">
              <a16:creationId xmlns:a16="http://schemas.microsoft.com/office/drawing/2014/main" id="{0B9DF783-8082-42A7-8D74-9A6D6A050B0E}"/>
            </a:ext>
          </a:extLst>
        </xdr:cNvPr>
        <xdr:cNvSpPr/>
      </xdr:nvSpPr>
      <xdr:spPr>
        <a:xfrm>
          <a:off x="63769" y="1403725"/>
          <a:ext cx="4262841" cy="1808946"/>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16200000" scaled="1"/>
          <a:tileRect/>
        </a:gradFill>
        <a:ln>
          <a:noFill/>
        </a:ln>
        <a:effectLst>
          <a:outerShdw blurRad="50800" dist="38100" dir="5400000" algn="t"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eaLnBrk="1" fontAlgn="auto" latinLnBrk="0" hangingPunct="1"/>
          <a:r>
            <a:rPr lang="en-US" sz="1800" b="1" i="0" u="none" strike="noStrike">
              <a:solidFill>
                <a:srgbClr val="000000"/>
              </a:solidFill>
              <a:effectLst/>
              <a:latin typeface="Calibri"/>
              <a:ea typeface="+mn-ea"/>
              <a:cs typeface="Calibri"/>
            </a:rPr>
            <a:t>Total</a:t>
          </a:r>
          <a:r>
            <a:rPr lang="en-US" sz="1800" b="1" i="0" u="none" strike="noStrike" baseline="0">
              <a:solidFill>
                <a:srgbClr val="000000"/>
              </a:solidFill>
              <a:effectLst/>
              <a:latin typeface="Calibri"/>
              <a:ea typeface="+mn-ea"/>
              <a:cs typeface="Calibri"/>
            </a:rPr>
            <a:t> Amount Paid</a:t>
          </a:r>
          <a:endParaRPr lang="en-US" sz="1800" b="1" i="0" u="none" strike="noStrike">
            <a:solidFill>
              <a:srgbClr val="000000"/>
            </a:solidFill>
            <a:effectLst/>
            <a:latin typeface="Calibri"/>
            <a:ea typeface="+mn-ea"/>
            <a:cs typeface="Calibri"/>
          </a:endParaRPr>
        </a:p>
        <a:p>
          <a:pPr algn="l" eaLnBrk="1" fontAlgn="auto" latinLnBrk="0" hangingPunct="1"/>
          <a:endParaRPr lang="en-US" sz="1800" b="1" i="0" u="none" strike="noStrike">
            <a:solidFill>
              <a:srgbClr val="000000"/>
            </a:solidFill>
            <a:effectLst/>
            <a:latin typeface="Calibri"/>
            <a:ea typeface="+mn-ea"/>
            <a:cs typeface="Calibri"/>
          </a:endParaRPr>
        </a:p>
        <a:p>
          <a:pPr algn="l" eaLnBrk="1" fontAlgn="auto" latinLnBrk="0" hangingPunct="1"/>
          <a:fld id="{9A39BD1C-D5BF-4E60-A3E9-453CEB1C6D1F}" type="TxLink">
            <a:rPr lang="en-US" sz="1800" b="1" i="0" u="none" strike="noStrike">
              <a:solidFill>
                <a:srgbClr val="000000"/>
              </a:solidFill>
              <a:effectLst/>
              <a:latin typeface="Calibri"/>
              <a:ea typeface="+mn-ea"/>
              <a:cs typeface="Calibri"/>
            </a:rPr>
            <a:pPr algn="l" eaLnBrk="1" fontAlgn="auto" latinLnBrk="0" hangingPunct="1"/>
            <a:t> $1,154,931.32 </a:t>
          </a:fld>
          <a:endParaRPr lang="en-US" sz="1800" b="1">
            <a:solidFill>
              <a:schemeClr val="accent4">
                <a:lumMod val="50000"/>
              </a:schemeClr>
            </a:solidFill>
            <a:effectLst/>
          </a:endParaRPr>
        </a:p>
      </xdr:txBody>
    </xdr:sp>
    <xdr:clientData/>
  </xdr:twoCellAnchor>
  <xdr:twoCellAnchor>
    <xdr:from>
      <xdr:col>7</xdr:col>
      <xdr:colOff>105584</xdr:colOff>
      <xdr:row>7</xdr:row>
      <xdr:rowOff>63767</xdr:rowOff>
    </xdr:from>
    <xdr:to>
      <xdr:col>14</xdr:col>
      <xdr:colOff>74103</xdr:colOff>
      <xdr:row>16</xdr:row>
      <xdr:rowOff>129154</xdr:rowOff>
    </xdr:to>
    <xdr:sp macro="" textlink="'Working Sheet'!R2">
      <xdr:nvSpPr>
        <xdr:cNvPr id="4" name="Rectangle: Rounded Corners 3">
          <a:extLst>
            <a:ext uri="{FF2B5EF4-FFF2-40B4-BE49-F238E27FC236}">
              <a16:creationId xmlns:a16="http://schemas.microsoft.com/office/drawing/2014/main" id="{6268F1C5-30A9-44EC-9299-040558470BB8}"/>
            </a:ext>
          </a:extLst>
        </xdr:cNvPr>
        <xdr:cNvSpPr/>
      </xdr:nvSpPr>
      <xdr:spPr>
        <a:xfrm>
          <a:off x="4399906" y="1419869"/>
          <a:ext cx="4262841" cy="1808946"/>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a:noFill/>
        </a:ln>
        <a:effectLst>
          <a:outerShdw blurRad="50800" dist="38100" dir="5400000" algn="t"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1800" b="1" i="0" u="none" strike="noStrike">
              <a:solidFill>
                <a:srgbClr val="000000"/>
              </a:solidFill>
              <a:latin typeface="Calibri"/>
              <a:cs typeface="Calibri"/>
            </a:rPr>
            <a:t>Settlement Rate</a:t>
          </a:r>
        </a:p>
        <a:p>
          <a:pPr algn="l"/>
          <a:endParaRPr lang="en-US" sz="1800" b="1" i="0" u="none" strike="noStrike">
            <a:solidFill>
              <a:srgbClr val="000000"/>
            </a:solidFill>
            <a:latin typeface="Calibri"/>
            <a:cs typeface="Calibri"/>
          </a:endParaRPr>
        </a:p>
        <a:p>
          <a:pPr algn="l"/>
          <a:fld id="{90E384F4-8313-4775-B6C0-6B8632099346}" type="TxLink">
            <a:rPr lang="en-US" sz="1800" b="1" i="0" u="none" strike="noStrike">
              <a:solidFill>
                <a:srgbClr val="000000"/>
              </a:solidFill>
              <a:latin typeface="Calibri"/>
              <a:cs typeface="Calibri"/>
            </a:rPr>
            <a:pPr algn="l"/>
            <a:t>32%</a:t>
          </a:fld>
          <a:endParaRPr lang="en-US" sz="1800" b="1">
            <a:solidFill>
              <a:schemeClr val="tx2">
                <a:lumMod val="50000"/>
              </a:schemeClr>
            </a:solidFill>
          </a:endParaRPr>
        </a:p>
      </xdr:txBody>
    </xdr:sp>
    <xdr:clientData/>
  </xdr:twoCellAnchor>
  <xdr:twoCellAnchor>
    <xdr:from>
      <xdr:col>21</xdr:col>
      <xdr:colOff>262391</xdr:colOff>
      <xdr:row>7</xdr:row>
      <xdr:rowOff>63767</xdr:rowOff>
    </xdr:from>
    <xdr:to>
      <xdr:col>28</xdr:col>
      <xdr:colOff>230910</xdr:colOff>
      <xdr:row>16</xdr:row>
      <xdr:rowOff>129154</xdr:rowOff>
    </xdr:to>
    <xdr:sp macro="" textlink="'Working Sheet'!Q2">
      <xdr:nvSpPr>
        <xdr:cNvPr id="5" name="Rectangle: Rounded Corners 4">
          <a:extLst>
            <a:ext uri="{FF2B5EF4-FFF2-40B4-BE49-F238E27FC236}">
              <a16:creationId xmlns:a16="http://schemas.microsoft.com/office/drawing/2014/main" id="{82D5495B-B15A-45A5-A7F0-72570D17FDDA}"/>
            </a:ext>
          </a:extLst>
        </xdr:cNvPr>
        <xdr:cNvSpPr/>
      </xdr:nvSpPr>
      <xdr:spPr>
        <a:xfrm>
          <a:off x="12991255" y="1377062"/>
          <a:ext cx="4211473" cy="1753910"/>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6200000" scaled="1"/>
          <a:tileRect/>
        </a:gradFill>
        <a:ln>
          <a:noFill/>
        </a:ln>
        <a:effectLst>
          <a:outerShdw blurRad="50800" dist="38100" dir="5400000" algn="t"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1800" b="1" i="0" u="none" strike="noStrike">
              <a:solidFill>
                <a:srgbClr val="000000"/>
              </a:solidFill>
              <a:latin typeface="Calibri"/>
              <a:cs typeface="Calibri"/>
            </a:rPr>
            <a:t>Total Cash Needed</a:t>
          </a:r>
        </a:p>
        <a:p>
          <a:pPr algn="l"/>
          <a:endParaRPr lang="en-US" sz="1800" b="1" i="0" u="none" strike="noStrike">
            <a:solidFill>
              <a:srgbClr val="000000"/>
            </a:solidFill>
            <a:latin typeface="Calibri"/>
            <a:cs typeface="Calibri"/>
          </a:endParaRPr>
        </a:p>
        <a:p>
          <a:pPr algn="l"/>
          <a:fld id="{621E4539-2A74-4887-827F-63A92D56E949}" type="TxLink">
            <a:rPr lang="en-US" sz="1800" b="1" i="0" u="none" strike="noStrike">
              <a:solidFill>
                <a:srgbClr val="000000"/>
              </a:solidFill>
              <a:latin typeface="Calibri"/>
              <a:cs typeface="Calibri"/>
            </a:rPr>
            <a:pPr algn="l"/>
            <a:t> $1,132,143.60 </a:t>
          </a:fld>
          <a:endParaRPr lang="en-US" sz="1800" b="1">
            <a:solidFill>
              <a:schemeClr val="accent3">
                <a:lumMod val="50000"/>
              </a:schemeClr>
            </a:solidFill>
          </a:endParaRPr>
        </a:p>
      </xdr:txBody>
    </xdr:sp>
    <xdr:clientData/>
  </xdr:twoCellAnchor>
  <xdr:twoCellAnchor>
    <xdr:from>
      <xdr:col>22</xdr:col>
      <xdr:colOff>69290</xdr:colOff>
      <xdr:row>17</xdr:row>
      <xdr:rowOff>34382</xdr:rowOff>
    </xdr:from>
    <xdr:to>
      <xdr:col>28</xdr:col>
      <xdr:colOff>230910</xdr:colOff>
      <xdr:row>35</xdr:row>
      <xdr:rowOff>101023</xdr:rowOff>
    </xdr:to>
    <xdr:graphicFrame macro="">
      <xdr:nvGraphicFramePr>
        <xdr:cNvPr id="11" name="Chart 10">
          <a:extLst>
            <a:ext uri="{FF2B5EF4-FFF2-40B4-BE49-F238E27FC236}">
              <a16:creationId xmlns:a16="http://schemas.microsoft.com/office/drawing/2014/main" id="{9BB74398-713B-47E2-800C-A039B2B08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62057</xdr:colOff>
      <xdr:row>35</xdr:row>
      <xdr:rowOff>182872</xdr:rowOff>
    </xdr:from>
    <xdr:to>
      <xdr:col>10</xdr:col>
      <xdr:colOff>166832</xdr:colOff>
      <xdr:row>53</xdr:row>
      <xdr:rowOff>173182</xdr:rowOff>
    </xdr:to>
    <xdr:graphicFrame macro="">
      <xdr:nvGraphicFramePr>
        <xdr:cNvPr id="12" name="Chart 11">
          <a:extLst>
            <a:ext uri="{FF2B5EF4-FFF2-40B4-BE49-F238E27FC236}">
              <a16:creationId xmlns:a16="http://schemas.microsoft.com/office/drawing/2014/main" id="{D4A0ABB3-48E8-4182-9E14-E6D68C5CA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74456</xdr:colOff>
      <xdr:row>17</xdr:row>
      <xdr:rowOff>34382</xdr:rowOff>
    </xdr:from>
    <xdr:to>
      <xdr:col>12</xdr:col>
      <xdr:colOff>531656</xdr:colOff>
      <xdr:row>35</xdr:row>
      <xdr:rowOff>107323</xdr:rowOff>
    </xdr:to>
    <xdr:graphicFrame macro="">
      <xdr:nvGraphicFramePr>
        <xdr:cNvPr id="13" name="Chart 12">
          <a:extLst>
            <a:ext uri="{FF2B5EF4-FFF2-40B4-BE49-F238E27FC236}">
              <a16:creationId xmlns:a16="http://schemas.microsoft.com/office/drawing/2014/main" id="{36215788-923E-495E-B811-177533C19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251184</xdr:colOff>
      <xdr:row>35</xdr:row>
      <xdr:rowOff>182872</xdr:rowOff>
    </xdr:from>
    <xdr:to>
      <xdr:col>19</xdr:col>
      <xdr:colOff>594085</xdr:colOff>
      <xdr:row>53</xdr:row>
      <xdr:rowOff>173182</xdr:rowOff>
    </xdr:to>
    <xdr:graphicFrame macro="">
      <xdr:nvGraphicFramePr>
        <xdr:cNvPr id="14" name="Chart 13">
          <a:extLst>
            <a:ext uri="{FF2B5EF4-FFF2-40B4-BE49-F238E27FC236}">
              <a16:creationId xmlns:a16="http://schemas.microsoft.com/office/drawing/2014/main" id="{237F29BD-77B9-469B-A475-539228E08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57728</xdr:colOff>
      <xdr:row>35</xdr:row>
      <xdr:rowOff>182871</xdr:rowOff>
    </xdr:from>
    <xdr:to>
      <xdr:col>28</xdr:col>
      <xdr:colOff>230910</xdr:colOff>
      <xdr:row>53</xdr:row>
      <xdr:rowOff>187612</xdr:rowOff>
    </xdr:to>
    <xdr:graphicFrame macro="">
      <xdr:nvGraphicFramePr>
        <xdr:cNvPr id="15" name="Chart 14">
          <a:extLst>
            <a:ext uri="{FF2B5EF4-FFF2-40B4-BE49-F238E27FC236}">
              <a16:creationId xmlns:a16="http://schemas.microsoft.com/office/drawing/2014/main" id="{EC35BF33-2ED6-45CB-8605-1431250DC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11781</xdr:colOff>
      <xdr:row>17</xdr:row>
      <xdr:rowOff>34380</xdr:rowOff>
    </xdr:from>
    <xdr:to>
      <xdr:col>22</xdr:col>
      <xdr:colOff>0</xdr:colOff>
      <xdr:row>35</xdr:row>
      <xdr:rowOff>107322</xdr:rowOff>
    </xdr:to>
    <xdr:graphicFrame macro="">
      <xdr:nvGraphicFramePr>
        <xdr:cNvPr id="16" name="Chart 15">
          <a:extLst>
            <a:ext uri="{FF2B5EF4-FFF2-40B4-BE49-F238E27FC236}">
              <a16:creationId xmlns:a16="http://schemas.microsoft.com/office/drawing/2014/main" id="{F1245565-B60E-4655-B5B3-06D4D4669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346363</xdr:colOff>
      <xdr:row>7</xdr:row>
      <xdr:rowOff>100735</xdr:rowOff>
    </xdr:from>
    <xdr:to>
      <xdr:col>33</xdr:col>
      <xdr:colOff>14431</xdr:colOff>
      <xdr:row>22</xdr:row>
      <xdr:rowOff>129886</xdr:rowOff>
    </xdr:to>
    <mc:AlternateContent xmlns:mc="http://schemas.openxmlformats.org/markup-compatibility/2006" xmlns:a14="http://schemas.microsoft.com/office/drawing/2010/main">
      <mc:Choice Requires="a14">
        <xdr:graphicFrame macro="">
          <xdr:nvGraphicFramePr>
            <xdr:cNvPr id="17" name="Vendor">
              <a:extLst>
                <a:ext uri="{FF2B5EF4-FFF2-40B4-BE49-F238E27FC236}">
                  <a16:creationId xmlns:a16="http://schemas.microsoft.com/office/drawing/2014/main" id="{E178C31F-FA08-CA19-F6F4-0E248A5F1495}"/>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17318181" y="1414030"/>
              <a:ext cx="2698750" cy="2843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331933</xdr:colOff>
      <xdr:row>42</xdr:row>
      <xdr:rowOff>158746</xdr:rowOff>
    </xdr:from>
    <xdr:to>
      <xdr:col>33</xdr:col>
      <xdr:colOff>1</xdr:colOff>
      <xdr:row>54</xdr:row>
      <xdr:rowOff>14432</xdr:rowOff>
    </xdr:to>
    <mc:AlternateContent xmlns:mc="http://schemas.openxmlformats.org/markup-compatibility/2006" xmlns:a14="http://schemas.microsoft.com/office/drawing/2010/main">
      <mc:Choice Requires="a14">
        <xdr:graphicFrame macro="">
          <xdr:nvGraphicFramePr>
            <xdr:cNvPr id="18" name="Currency">
              <a:extLst>
                <a:ext uri="{FF2B5EF4-FFF2-40B4-BE49-F238E27FC236}">
                  <a16:creationId xmlns:a16="http://schemas.microsoft.com/office/drawing/2014/main" id="{308A2B50-4CD4-44D1-EF3E-2D510606E33A}"/>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7303751" y="8038519"/>
              <a:ext cx="2698750" cy="2107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346363</xdr:colOff>
      <xdr:row>22</xdr:row>
      <xdr:rowOff>172892</xdr:rowOff>
    </xdr:from>
    <xdr:to>
      <xdr:col>33</xdr:col>
      <xdr:colOff>14431</xdr:colOff>
      <xdr:row>32</xdr:row>
      <xdr:rowOff>115453</xdr:rowOff>
    </xdr:to>
    <mc:AlternateContent xmlns:mc="http://schemas.openxmlformats.org/markup-compatibility/2006" xmlns:a14="http://schemas.microsoft.com/office/drawing/2010/main">
      <mc:Choice Requires="a14">
        <xdr:graphicFrame macro="">
          <xdr:nvGraphicFramePr>
            <xdr:cNvPr id="19" name="Status">
              <a:extLst>
                <a:ext uri="{FF2B5EF4-FFF2-40B4-BE49-F238E27FC236}">
                  <a16:creationId xmlns:a16="http://schemas.microsoft.com/office/drawing/2014/main" id="{0CDA413E-5CAD-2DC6-4DFF-BBEEF964892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318181" y="4300392"/>
              <a:ext cx="2698750" cy="1818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346363</xdr:colOff>
      <xdr:row>32</xdr:row>
      <xdr:rowOff>158459</xdr:rowOff>
    </xdr:from>
    <xdr:to>
      <xdr:col>33</xdr:col>
      <xdr:colOff>14431</xdr:colOff>
      <xdr:row>42</xdr:row>
      <xdr:rowOff>115453</xdr:rowOff>
    </xdr:to>
    <mc:AlternateContent xmlns:mc="http://schemas.openxmlformats.org/markup-compatibility/2006" xmlns:a14="http://schemas.microsoft.com/office/drawing/2010/main">
      <mc:Choice Requires="a14">
        <xdr:graphicFrame macro="">
          <xdr:nvGraphicFramePr>
            <xdr:cNvPr id="22" name="Overdue">
              <a:extLst>
                <a:ext uri="{FF2B5EF4-FFF2-40B4-BE49-F238E27FC236}">
                  <a16:creationId xmlns:a16="http://schemas.microsoft.com/office/drawing/2014/main" id="{A5B94147-B3E5-089B-3FEA-9158FC876699}"/>
                </a:ext>
              </a:extLst>
            </xdr:cNvPr>
            <xdr:cNvGraphicFramePr/>
          </xdr:nvGraphicFramePr>
          <xdr:xfrm>
            <a:off x="0" y="0"/>
            <a:ext cx="0" cy="0"/>
          </xdr:xfrm>
          <a:graphic>
            <a:graphicData uri="http://schemas.microsoft.com/office/drawing/2010/slicer">
              <sle:slicer xmlns:sle="http://schemas.microsoft.com/office/drawing/2010/slicer" name="Overdue"/>
            </a:graphicData>
          </a:graphic>
        </xdr:graphicFrame>
      </mc:Choice>
      <mc:Fallback xmlns="">
        <xdr:sp macro="" textlink="">
          <xdr:nvSpPr>
            <xdr:cNvPr id="0" name=""/>
            <xdr:cNvSpPr>
              <a:spLocks noTextEdit="1"/>
            </xdr:cNvSpPr>
          </xdr:nvSpPr>
          <xdr:spPr>
            <a:xfrm>
              <a:off x="17318181" y="6162095"/>
              <a:ext cx="2698750" cy="1833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7.94713148148" createdVersion="8" refreshedVersion="8" minRefreshableVersion="3" recordCount="800" xr:uid="{882947C7-BBB5-47B6-B7A4-0008F56046F6}">
  <cacheSource type="worksheet">
    <worksheetSource ref="A1:N801" sheet="Working Sheet"/>
  </cacheSource>
  <cacheFields count="14">
    <cacheField name="APID" numFmtId="0">
      <sharedItems count="800">
        <s v="AP10000"/>
        <s v="AP10001"/>
        <s v="AP10002"/>
        <s v="AP10003"/>
        <s v="AP10004"/>
        <s v="AP10005"/>
        <s v="AP10006"/>
        <s v="AP10007"/>
        <s v="AP10008"/>
        <s v="AP10009"/>
        <s v="AP10010"/>
        <s v="AP10011"/>
        <s v="AP10012"/>
        <s v="AP10013"/>
        <s v="AP10014"/>
        <s v="AP10015"/>
        <s v="AP10016"/>
        <s v="AP10017"/>
        <s v="AP10018"/>
        <s v="AP10019"/>
        <s v="AP10020"/>
        <s v="AP10021"/>
        <s v="AP10022"/>
        <s v="AP10023"/>
        <s v="AP10024"/>
        <s v="AP10025"/>
        <s v="AP10026"/>
        <s v="AP10027"/>
        <s v="AP10028"/>
        <s v="AP10029"/>
        <s v="AP10030"/>
        <s v="AP10031"/>
        <s v="AP10032"/>
        <s v="AP10033"/>
        <s v="AP10034"/>
        <s v="AP10035"/>
        <s v="AP10036"/>
        <s v="AP10037"/>
        <s v="AP10038"/>
        <s v="AP10039"/>
        <s v="AP10040"/>
        <s v="AP10041"/>
        <s v="AP10042"/>
        <s v="AP10043"/>
        <s v="AP10044"/>
        <s v="AP10045"/>
        <s v="AP10046"/>
        <s v="AP10047"/>
        <s v="AP10048"/>
        <s v="AP10049"/>
        <s v="AP10050"/>
        <s v="AP10051"/>
        <s v="AP10052"/>
        <s v="AP10053"/>
        <s v="AP10054"/>
        <s v="AP10055"/>
        <s v="AP10056"/>
        <s v="AP10057"/>
        <s v="AP10058"/>
        <s v="AP10059"/>
        <s v="AP10060"/>
        <s v="AP10061"/>
        <s v="AP10062"/>
        <s v="AP10063"/>
        <s v="AP10064"/>
        <s v="AP10065"/>
        <s v="AP10066"/>
        <s v="AP10067"/>
        <s v="AP10068"/>
        <s v="AP10069"/>
        <s v="AP10070"/>
        <s v="AP10071"/>
        <s v="AP10072"/>
        <s v="AP10073"/>
        <s v="AP10074"/>
        <s v="AP10075"/>
        <s v="AP10076"/>
        <s v="AP10077"/>
        <s v="AP10078"/>
        <s v="AP10079"/>
        <s v="AP10080"/>
        <s v="AP10081"/>
        <s v="AP10082"/>
        <s v="AP10083"/>
        <s v="AP10084"/>
        <s v="AP10085"/>
        <s v="AP10086"/>
        <s v="AP10087"/>
        <s v="AP10088"/>
        <s v="AP10089"/>
        <s v="AP10090"/>
        <s v="AP10091"/>
        <s v="AP10092"/>
        <s v="AP10093"/>
        <s v="AP10094"/>
        <s v="AP10095"/>
        <s v="AP10096"/>
        <s v="AP10097"/>
        <s v="AP10098"/>
        <s v="AP10099"/>
        <s v="AP10100"/>
        <s v="AP10101"/>
        <s v="AP10102"/>
        <s v="AP10103"/>
        <s v="AP10104"/>
        <s v="AP10105"/>
        <s v="AP10106"/>
        <s v="AP10107"/>
        <s v="AP10108"/>
        <s v="AP10109"/>
        <s v="AP10110"/>
        <s v="AP10111"/>
        <s v="AP10112"/>
        <s v="AP10113"/>
        <s v="AP10114"/>
        <s v="AP10115"/>
        <s v="AP10116"/>
        <s v="AP10117"/>
        <s v="AP10118"/>
        <s v="AP10119"/>
        <s v="AP10120"/>
        <s v="AP10121"/>
        <s v="AP10122"/>
        <s v="AP10123"/>
        <s v="AP10124"/>
        <s v="AP10125"/>
        <s v="AP10126"/>
        <s v="AP10127"/>
        <s v="AP10128"/>
        <s v="AP10129"/>
        <s v="AP10130"/>
        <s v="AP10131"/>
        <s v="AP10132"/>
        <s v="AP10133"/>
        <s v="AP10134"/>
        <s v="AP10135"/>
        <s v="AP10136"/>
        <s v="AP10137"/>
        <s v="AP10138"/>
        <s v="AP10139"/>
        <s v="AP10140"/>
        <s v="AP10141"/>
        <s v="AP10142"/>
        <s v="AP10143"/>
        <s v="AP10144"/>
        <s v="AP10145"/>
        <s v="AP10146"/>
        <s v="AP10147"/>
        <s v="AP10148"/>
        <s v="AP10149"/>
        <s v="AP10150"/>
        <s v="AP10151"/>
        <s v="AP10152"/>
        <s v="AP10153"/>
        <s v="AP10154"/>
        <s v="AP10155"/>
        <s v="AP10156"/>
        <s v="AP10157"/>
        <s v="AP10158"/>
        <s v="AP10159"/>
        <s v="AP10160"/>
        <s v="AP10161"/>
        <s v="AP10162"/>
        <s v="AP10163"/>
        <s v="AP10164"/>
        <s v="AP10165"/>
        <s v="AP10166"/>
        <s v="AP10167"/>
        <s v="AP10168"/>
        <s v="AP10169"/>
        <s v="AP10170"/>
        <s v="AP10171"/>
        <s v="AP10172"/>
        <s v="AP10173"/>
        <s v="AP10174"/>
        <s v="AP10175"/>
        <s v="AP10176"/>
        <s v="AP10177"/>
        <s v="AP10178"/>
        <s v="AP10179"/>
        <s v="AP10180"/>
        <s v="AP10181"/>
        <s v="AP10182"/>
        <s v="AP10183"/>
        <s v="AP10184"/>
        <s v="AP10185"/>
        <s v="AP10186"/>
        <s v="AP10187"/>
        <s v="AP10188"/>
        <s v="AP10189"/>
        <s v="AP10190"/>
        <s v="AP10191"/>
        <s v="AP10192"/>
        <s v="AP10193"/>
        <s v="AP10194"/>
        <s v="AP10195"/>
        <s v="AP10196"/>
        <s v="AP10197"/>
        <s v="AP10198"/>
        <s v="AP10199"/>
        <s v="AP10200"/>
        <s v="AP10201"/>
        <s v="AP10202"/>
        <s v="AP10203"/>
        <s v="AP10204"/>
        <s v="AP10205"/>
        <s v="AP10206"/>
        <s v="AP10207"/>
        <s v="AP10208"/>
        <s v="AP10209"/>
        <s v="AP10210"/>
        <s v="AP10211"/>
        <s v="AP10212"/>
        <s v="AP10213"/>
        <s v="AP10214"/>
        <s v="AP10215"/>
        <s v="AP10216"/>
        <s v="AP10217"/>
        <s v="AP10218"/>
        <s v="AP10219"/>
        <s v="AP10220"/>
        <s v="AP10221"/>
        <s v="AP10222"/>
        <s v="AP10223"/>
        <s v="AP10224"/>
        <s v="AP10225"/>
        <s v="AP10226"/>
        <s v="AP10227"/>
        <s v="AP10228"/>
        <s v="AP10229"/>
        <s v="AP10230"/>
        <s v="AP10231"/>
        <s v="AP10232"/>
        <s v="AP10233"/>
        <s v="AP10234"/>
        <s v="AP10235"/>
        <s v="AP10236"/>
        <s v="AP10237"/>
        <s v="AP10238"/>
        <s v="AP10239"/>
        <s v="AP10240"/>
        <s v="AP10241"/>
        <s v="AP10242"/>
        <s v="AP10243"/>
        <s v="AP10244"/>
        <s v="AP10245"/>
        <s v="AP10246"/>
        <s v="AP10247"/>
        <s v="AP10248"/>
        <s v="AP10249"/>
        <s v="AP10250"/>
        <s v="AP10251"/>
        <s v="AP10252"/>
        <s v="AP10253"/>
        <s v="AP10254"/>
        <s v="AP10255"/>
        <s v="AP10256"/>
        <s v="AP10257"/>
        <s v="AP10258"/>
        <s v="AP10259"/>
        <s v="AP10260"/>
        <s v="AP10261"/>
        <s v="AP10262"/>
        <s v="AP10263"/>
        <s v="AP10264"/>
        <s v="AP10265"/>
        <s v="AP10266"/>
        <s v="AP10267"/>
        <s v="AP10268"/>
        <s v="AP10269"/>
        <s v="AP10270"/>
        <s v="AP10271"/>
        <s v="AP10272"/>
        <s v="AP10273"/>
        <s v="AP10274"/>
        <s v="AP10275"/>
        <s v="AP10276"/>
        <s v="AP10277"/>
        <s v="AP10278"/>
        <s v="AP10279"/>
        <s v="AP10280"/>
        <s v="AP10281"/>
        <s v="AP10282"/>
        <s v="AP10283"/>
        <s v="AP10284"/>
        <s v="AP10285"/>
        <s v="AP10286"/>
        <s v="AP10287"/>
        <s v="AP10288"/>
        <s v="AP10289"/>
        <s v="AP10290"/>
        <s v="AP10291"/>
        <s v="AP10292"/>
        <s v="AP10293"/>
        <s v="AP10294"/>
        <s v="AP10295"/>
        <s v="AP10296"/>
        <s v="AP10297"/>
        <s v="AP10298"/>
        <s v="AP10299"/>
        <s v="AP10300"/>
        <s v="AP10301"/>
        <s v="AP10302"/>
        <s v="AP10303"/>
        <s v="AP10304"/>
        <s v="AP10305"/>
        <s v="AP10306"/>
        <s v="AP10307"/>
        <s v="AP10308"/>
        <s v="AP10309"/>
        <s v="AP10310"/>
        <s v="AP10311"/>
        <s v="AP10312"/>
        <s v="AP10313"/>
        <s v="AP10314"/>
        <s v="AP10315"/>
        <s v="AP10316"/>
        <s v="AP10317"/>
        <s v="AP10318"/>
        <s v="AP10319"/>
        <s v="AP10320"/>
        <s v="AP10321"/>
        <s v="AP10322"/>
        <s v="AP10323"/>
        <s v="AP10324"/>
        <s v="AP10325"/>
        <s v="AP10326"/>
        <s v="AP10327"/>
        <s v="AP10328"/>
        <s v="AP10329"/>
        <s v="AP10330"/>
        <s v="AP10331"/>
        <s v="AP10332"/>
        <s v="AP10333"/>
        <s v="AP10334"/>
        <s v="AP10335"/>
        <s v="AP10336"/>
        <s v="AP10337"/>
        <s v="AP10338"/>
        <s v="AP10339"/>
        <s v="AP10340"/>
        <s v="AP10341"/>
        <s v="AP10342"/>
        <s v="AP10343"/>
        <s v="AP10344"/>
        <s v="AP10345"/>
        <s v="AP10346"/>
        <s v="AP10347"/>
        <s v="AP10348"/>
        <s v="AP10349"/>
        <s v="AP10350"/>
        <s v="AP10351"/>
        <s v="AP10352"/>
        <s v="AP10353"/>
        <s v="AP10354"/>
        <s v="AP10355"/>
        <s v="AP10356"/>
        <s v="AP10357"/>
        <s v="AP10358"/>
        <s v="AP10359"/>
        <s v="AP10360"/>
        <s v="AP10361"/>
        <s v="AP10362"/>
        <s v="AP10363"/>
        <s v="AP10364"/>
        <s v="AP10365"/>
        <s v="AP10366"/>
        <s v="AP10367"/>
        <s v="AP10368"/>
        <s v="AP10369"/>
        <s v="AP10370"/>
        <s v="AP10371"/>
        <s v="AP10372"/>
        <s v="AP10373"/>
        <s v="AP10374"/>
        <s v="AP10375"/>
        <s v="AP10376"/>
        <s v="AP10377"/>
        <s v="AP10378"/>
        <s v="AP10379"/>
        <s v="AP10380"/>
        <s v="AP10381"/>
        <s v="AP10382"/>
        <s v="AP10383"/>
        <s v="AP10384"/>
        <s v="AP10385"/>
        <s v="AP10386"/>
        <s v="AP10387"/>
        <s v="AP10388"/>
        <s v="AP10389"/>
        <s v="AP10390"/>
        <s v="AP10391"/>
        <s v="AP10392"/>
        <s v="AP10393"/>
        <s v="AP10394"/>
        <s v="AP10395"/>
        <s v="AP10396"/>
        <s v="AP10397"/>
        <s v="AP10398"/>
        <s v="AP10399"/>
        <s v="AP10400"/>
        <s v="AP10401"/>
        <s v="AP10402"/>
        <s v="AP10403"/>
        <s v="AP10404"/>
        <s v="AP10405"/>
        <s v="AP10406"/>
        <s v="AP10407"/>
        <s v="AP10408"/>
        <s v="AP10409"/>
        <s v="AP10410"/>
        <s v="AP10411"/>
        <s v="AP10412"/>
        <s v="AP10413"/>
        <s v="AP10414"/>
        <s v="AP10415"/>
        <s v="AP10416"/>
        <s v="AP10417"/>
        <s v="AP10418"/>
        <s v="AP10419"/>
        <s v="AP10420"/>
        <s v="AP10421"/>
        <s v="AP10422"/>
        <s v="AP10423"/>
        <s v="AP10424"/>
        <s v="AP10425"/>
        <s v="AP10426"/>
        <s v="AP10427"/>
        <s v="AP10428"/>
        <s v="AP10429"/>
        <s v="AP10430"/>
        <s v="AP10431"/>
        <s v="AP10432"/>
        <s v="AP10433"/>
        <s v="AP10434"/>
        <s v="AP10435"/>
        <s v="AP10436"/>
        <s v="AP10437"/>
        <s v="AP10438"/>
        <s v="AP10439"/>
        <s v="AP10440"/>
        <s v="AP10441"/>
        <s v="AP10442"/>
        <s v="AP10443"/>
        <s v="AP10444"/>
        <s v="AP10445"/>
        <s v="AP10446"/>
        <s v="AP10447"/>
        <s v="AP10448"/>
        <s v="AP10449"/>
        <s v="AP10450"/>
        <s v="AP10451"/>
        <s v="AP10452"/>
        <s v="AP10453"/>
        <s v="AP10454"/>
        <s v="AP10455"/>
        <s v="AP10456"/>
        <s v="AP10457"/>
        <s v="AP10458"/>
        <s v="AP10459"/>
        <s v="AP10460"/>
        <s v="AP10461"/>
        <s v="AP10462"/>
        <s v="AP10463"/>
        <s v="AP10464"/>
        <s v="AP10465"/>
        <s v="AP10466"/>
        <s v="AP10467"/>
        <s v="AP10468"/>
        <s v="AP10469"/>
        <s v="AP10470"/>
        <s v="AP10471"/>
        <s v="AP10472"/>
        <s v="AP10473"/>
        <s v="AP10474"/>
        <s v="AP10475"/>
        <s v="AP10476"/>
        <s v="AP10477"/>
        <s v="AP10478"/>
        <s v="AP10479"/>
        <s v="AP10480"/>
        <s v="AP10481"/>
        <s v="AP10482"/>
        <s v="AP10483"/>
        <s v="AP10484"/>
        <s v="AP10485"/>
        <s v="AP10486"/>
        <s v="AP10487"/>
        <s v="AP10488"/>
        <s v="AP10489"/>
        <s v="AP10490"/>
        <s v="AP10491"/>
        <s v="AP10492"/>
        <s v="AP10493"/>
        <s v="AP10494"/>
        <s v="AP10495"/>
        <s v="AP10496"/>
        <s v="AP10497"/>
        <s v="AP10498"/>
        <s v="AP10499"/>
        <s v="AP10500"/>
        <s v="AP10501"/>
        <s v="AP10502"/>
        <s v="AP10503"/>
        <s v="AP10504"/>
        <s v="AP10505"/>
        <s v="AP10506"/>
        <s v="AP10507"/>
        <s v="AP10508"/>
        <s v="AP10509"/>
        <s v="AP10510"/>
        <s v="AP10511"/>
        <s v="AP10512"/>
        <s v="AP10513"/>
        <s v="AP10514"/>
        <s v="AP10515"/>
        <s v="AP10516"/>
        <s v="AP10517"/>
        <s v="AP10518"/>
        <s v="AP10519"/>
        <s v="AP10520"/>
        <s v="AP10521"/>
        <s v="AP10522"/>
        <s v="AP10523"/>
        <s v="AP10524"/>
        <s v="AP10525"/>
        <s v="AP10526"/>
        <s v="AP10527"/>
        <s v="AP10528"/>
        <s v="AP10529"/>
        <s v="AP10530"/>
        <s v="AP10531"/>
        <s v="AP10532"/>
        <s v="AP10533"/>
        <s v="AP10534"/>
        <s v="AP10535"/>
        <s v="AP10536"/>
        <s v="AP10537"/>
        <s v="AP10538"/>
        <s v="AP10539"/>
        <s v="AP10540"/>
        <s v="AP10541"/>
        <s v="AP10542"/>
        <s v="AP10543"/>
        <s v="AP10544"/>
        <s v="AP10545"/>
        <s v="AP10546"/>
        <s v="AP10547"/>
        <s v="AP10548"/>
        <s v="AP10549"/>
        <s v="AP10550"/>
        <s v="AP10551"/>
        <s v="AP10552"/>
        <s v="AP10553"/>
        <s v="AP10554"/>
        <s v="AP10555"/>
        <s v="AP10556"/>
        <s v="AP10557"/>
        <s v="AP10558"/>
        <s v="AP10559"/>
        <s v="AP10560"/>
        <s v="AP10561"/>
        <s v="AP10562"/>
        <s v="AP10563"/>
        <s v="AP10564"/>
        <s v="AP10565"/>
        <s v="AP10566"/>
        <s v="AP10567"/>
        <s v="AP10568"/>
        <s v="AP10569"/>
        <s v="AP10570"/>
        <s v="AP10571"/>
        <s v="AP10572"/>
        <s v="AP10573"/>
        <s v="AP10574"/>
        <s v="AP10575"/>
        <s v="AP10576"/>
        <s v="AP10577"/>
        <s v="AP10578"/>
        <s v="AP10579"/>
        <s v="AP10580"/>
        <s v="AP10581"/>
        <s v="AP10582"/>
        <s v="AP10583"/>
        <s v="AP10584"/>
        <s v="AP10585"/>
        <s v="AP10586"/>
        <s v="AP10587"/>
        <s v="AP10588"/>
        <s v="AP10589"/>
        <s v="AP10590"/>
        <s v="AP10591"/>
        <s v="AP10592"/>
        <s v="AP10593"/>
        <s v="AP10594"/>
        <s v="AP10595"/>
        <s v="AP10596"/>
        <s v="AP10597"/>
        <s v="AP10598"/>
        <s v="AP10599"/>
        <s v="AP10600"/>
        <s v="AP10601"/>
        <s v="AP10602"/>
        <s v="AP10603"/>
        <s v="AP10604"/>
        <s v="AP10605"/>
        <s v="AP10606"/>
        <s v="AP10607"/>
        <s v="AP10608"/>
        <s v="AP10609"/>
        <s v="AP10610"/>
        <s v="AP10611"/>
        <s v="AP10612"/>
        <s v="AP10613"/>
        <s v="AP10614"/>
        <s v="AP10615"/>
        <s v="AP10616"/>
        <s v="AP10617"/>
        <s v="AP10618"/>
        <s v="AP10619"/>
        <s v="AP10620"/>
        <s v="AP10621"/>
        <s v="AP10622"/>
        <s v="AP10623"/>
        <s v="AP10624"/>
        <s v="AP10625"/>
        <s v="AP10626"/>
        <s v="AP10627"/>
        <s v="AP10628"/>
        <s v="AP10629"/>
        <s v="AP10630"/>
        <s v="AP10631"/>
        <s v="AP10632"/>
        <s v="AP10633"/>
        <s v="AP10634"/>
        <s v="AP10635"/>
        <s v="AP10636"/>
        <s v="AP10637"/>
        <s v="AP10638"/>
        <s v="AP10639"/>
        <s v="AP10640"/>
        <s v="AP10641"/>
        <s v="AP10642"/>
        <s v="AP10643"/>
        <s v="AP10644"/>
        <s v="AP10645"/>
        <s v="AP10646"/>
        <s v="AP10647"/>
        <s v="AP10648"/>
        <s v="AP10649"/>
        <s v="AP10650"/>
        <s v="AP10651"/>
        <s v="AP10652"/>
        <s v="AP10653"/>
        <s v="AP10654"/>
        <s v="AP10655"/>
        <s v="AP10656"/>
        <s v="AP10657"/>
        <s v="AP10658"/>
        <s v="AP10659"/>
        <s v="AP10660"/>
        <s v="AP10661"/>
        <s v="AP10662"/>
        <s v="AP10663"/>
        <s v="AP10664"/>
        <s v="AP10665"/>
        <s v="AP10666"/>
        <s v="AP10667"/>
        <s v="AP10668"/>
        <s v="AP10669"/>
        <s v="AP10670"/>
        <s v="AP10671"/>
        <s v="AP10672"/>
        <s v="AP10673"/>
        <s v="AP10674"/>
        <s v="AP10675"/>
        <s v="AP10676"/>
        <s v="AP10677"/>
        <s v="AP10678"/>
        <s v="AP10679"/>
        <s v="AP10680"/>
        <s v="AP10681"/>
        <s v="AP10682"/>
        <s v="AP10683"/>
        <s v="AP10684"/>
        <s v="AP10685"/>
        <s v="AP10686"/>
        <s v="AP10687"/>
        <s v="AP10688"/>
        <s v="AP10689"/>
        <s v="AP10690"/>
        <s v="AP10691"/>
        <s v="AP10692"/>
        <s v="AP10693"/>
        <s v="AP10694"/>
        <s v="AP10695"/>
        <s v="AP10696"/>
        <s v="AP10697"/>
        <s v="AP10698"/>
        <s v="AP10699"/>
        <s v="AP10700"/>
        <s v="AP10701"/>
        <s v="AP10702"/>
        <s v="AP10703"/>
        <s v="AP10704"/>
        <s v="AP10705"/>
        <s v="AP10706"/>
        <s v="AP10707"/>
        <s v="AP10708"/>
        <s v="AP10709"/>
        <s v="AP10710"/>
        <s v="AP10711"/>
        <s v="AP10712"/>
        <s v="AP10713"/>
        <s v="AP10714"/>
        <s v="AP10715"/>
        <s v="AP10716"/>
        <s v="AP10717"/>
        <s v="AP10718"/>
        <s v="AP10719"/>
        <s v="AP10720"/>
        <s v="AP10721"/>
        <s v="AP10722"/>
        <s v="AP10723"/>
        <s v="AP10724"/>
        <s v="AP10725"/>
        <s v="AP10726"/>
        <s v="AP10727"/>
        <s v="AP10728"/>
        <s v="AP10729"/>
        <s v="AP10730"/>
        <s v="AP10731"/>
        <s v="AP10732"/>
        <s v="AP10733"/>
        <s v="AP10734"/>
        <s v="AP10735"/>
        <s v="AP10736"/>
        <s v="AP10737"/>
        <s v="AP10738"/>
        <s v="AP10739"/>
        <s v="AP10740"/>
        <s v="AP10741"/>
        <s v="AP10742"/>
        <s v="AP10743"/>
        <s v="AP10744"/>
        <s v="AP10745"/>
        <s v="AP10746"/>
        <s v="AP10747"/>
        <s v="AP10748"/>
        <s v="AP10749"/>
        <s v="AP10750"/>
        <s v="AP10751"/>
        <s v="AP10752"/>
        <s v="AP10753"/>
        <s v="AP10754"/>
        <s v="AP10755"/>
        <s v="AP10756"/>
        <s v="AP10757"/>
        <s v="AP10758"/>
        <s v="AP10759"/>
        <s v="AP10760"/>
        <s v="AP10761"/>
        <s v="AP10762"/>
        <s v="AP10763"/>
        <s v="AP10764"/>
        <s v="AP10765"/>
        <s v="AP10766"/>
        <s v="AP10767"/>
        <s v="AP10768"/>
        <s v="AP10769"/>
        <s v="AP10770"/>
        <s v="AP10771"/>
        <s v="AP10772"/>
        <s v="AP10773"/>
        <s v="AP10774"/>
        <s v="AP10775"/>
        <s v="AP10776"/>
        <s v="AP10777"/>
        <s v="AP10778"/>
        <s v="AP10779"/>
        <s v="AP10780"/>
        <s v="AP10781"/>
        <s v="AP10782"/>
        <s v="AP10783"/>
        <s v="AP10784"/>
        <s v="AP10785"/>
        <s v="AP10786"/>
        <s v="AP10787"/>
        <s v="AP10788"/>
        <s v="AP10789"/>
        <s v="AP10790"/>
        <s v="AP10791"/>
        <s v="AP10792"/>
        <s v="AP10793"/>
        <s v="AP10794"/>
        <s v="AP10795"/>
        <s v="AP10796"/>
        <s v="AP10797"/>
        <s v="AP10798"/>
        <s v="AP10799"/>
      </sharedItems>
    </cacheField>
    <cacheField name="Vendor" numFmtId="0">
      <sharedItems count="5">
        <s v="BluePrints"/>
        <s v="Fast Travel"/>
        <s v="ABC Supplies"/>
        <s v="Global Office"/>
        <s v="TechMart"/>
      </sharedItems>
    </cacheField>
    <cacheField name="Invoice Date" numFmtId="164">
      <sharedItems containsSemiMixedTypes="0" containsNonDate="0" containsDate="1" containsString="0" minDate="2023-01-01T00:00:00" maxDate="2025-07-01T00:00:00"/>
    </cacheField>
    <cacheField name="Due Date" numFmtId="164">
      <sharedItems containsSemiMixedTypes="0" containsNonDate="0" containsDate="1" containsString="0" minDate="2023-01-31T00:00:00" maxDate="2025-07-31T00:00:00"/>
    </cacheField>
    <cacheField name="Amount" numFmtId="43">
      <sharedItems containsSemiMixedTypes="0" containsString="0" containsNumber="1" minValue="104.02" maxValue="4995.3900000000003"/>
    </cacheField>
    <cacheField name="Currency" numFmtId="0">
      <sharedItems count="5">
        <s v="EUR"/>
        <s v="CAD"/>
        <s v="GBP"/>
        <s v="USD"/>
        <s v="AUD"/>
      </sharedItems>
    </cacheField>
    <cacheField name="Status" numFmtId="0">
      <sharedItems count="3">
        <s v="Open"/>
        <s v="Partial"/>
        <s v="Paid"/>
      </sharedItems>
    </cacheField>
    <cacheField name="Paid Date" numFmtId="164">
      <sharedItems containsDate="1" containsMixedTypes="1" minDate="2023-02-01T00:00:00" maxDate="2025-07-27T00:00:00"/>
    </cacheField>
    <cacheField name="Days Overdue" numFmtId="1">
      <sharedItems containsSemiMixedTypes="0" containsString="0" containsNumber="1" containsInteger="1" minValue="0" maxValue="1149" count="419">
        <n v="434"/>
        <n v="646"/>
        <n v="729"/>
        <n v="777"/>
        <n v="641"/>
        <n v="594"/>
        <n v="430"/>
        <n v="0"/>
        <n v="606"/>
        <n v="716"/>
        <n v="501"/>
        <n v="1011"/>
        <n v="659"/>
        <n v="806"/>
        <n v="420"/>
        <n v="332"/>
        <n v="955"/>
        <n v="971"/>
        <n v="423"/>
        <n v="1014"/>
        <n v="877"/>
        <n v="436"/>
        <n v="483"/>
        <n v="1085"/>
        <n v="741"/>
        <n v="478"/>
        <n v="1051"/>
        <n v="948"/>
        <n v="572"/>
        <n v="1142"/>
        <n v="968"/>
        <n v="275"/>
        <n v="763"/>
        <n v="267"/>
        <n v="974"/>
        <n v="973"/>
        <n v="394"/>
        <n v="914"/>
        <n v="1021"/>
        <n v="797"/>
        <n v="1147"/>
        <n v="614"/>
        <n v="351"/>
        <n v="668"/>
        <n v="672"/>
        <n v="314"/>
        <n v="579"/>
        <n v="1118"/>
        <n v="255"/>
        <n v="984"/>
        <n v="415"/>
        <n v="1008"/>
        <n v="265"/>
        <n v="515"/>
        <n v="618"/>
        <n v="653"/>
        <n v="994"/>
        <n v="256"/>
        <n v="339"/>
        <n v="556"/>
        <n v="673"/>
        <n v="1110"/>
        <n v="1005"/>
        <n v="849"/>
        <n v="650"/>
        <n v="726"/>
        <n v="942"/>
        <n v="522"/>
        <n v="238"/>
        <n v="543"/>
        <n v="1052"/>
        <n v="524"/>
        <n v="289"/>
        <n v="455"/>
        <n v="1048"/>
        <n v="765"/>
        <n v="451"/>
        <n v="706"/>
        <n v="883"/>
        <n v="1103"/>
        <n v="924"/>
        <n v="391"/>
        <n v="823"/>
        <n v="347"/>
        <n v="429"/>
        <n v="872"/>
        <n v="890"/>
        <n v="1136"/>
        <n v="680"/>
        <n v="985"/>
        <n v="790"/>
        <n v="294"/>
        <n v="711"/>
        <n v="684"/>
        <n v="445"/>
        <n v="438"/>
        <n v="676"/>
        <n v="249"/>
        <n v="1002"/>
        <n v="937"/>
        <n v="609"/>
        <n v="922"/>
        <n v="932"/>
        <n v="454"/>
        <n v="601"/>
        <n v="731"/>
        <n v="509"/>
        <n v="995"/>
        <n v="1032"/>
        <n v="342"/>
        <n v="751"/>
        <n v="490"/>
        <n v="1059"/>
        <n v="263"/>
        <n v="988"/>
        <n v="328"/>
        <n v="441"/>
        <n v="471"/>
        <n v="248"/>
        <n v="1086"/>
        <n v="623"/>
        <n v="1078"/>
        <n v="383"/>
        <n v="313"/>
        <n v="1115"/>
        <n v="246"/>
        <n v="677"/>
        <n v="1102"/>
        <n v="259"/>
        <n v="1000"/>
        <n v="622"/>
        <n v="353"/>
        <n v="692"/>
        <n v="688"/>
        <n v="239"/>
        <n v="349"/>
        <n v="1143"/>
        <n v="1128"/>
        <n v="616"/>
        <n v="372"/>
        <n v="627"/>
        <n v="585"/>
        <n v="967"/>
        <n v="644"/>
        <n v="825"/>
        <n v="286"/>
        <n v="365"/>
        <n v="488"/>
        <n v="388"/>
        <n v="757"/>
        <n v="553"/>
        <n v="304"/>
        <n v="552"/>
        <n v="761"/>
        <n v="1138"/>
        <n v="714"/>
        <n v="1068"/>
        <n v="602"/>
        <n v="458"/>
        <n v="1031"/>
        <n v="873"/>
        <n v="364"/>
        <n v="284"/>
        <n v="990"/>
        <n v="636"/>
        <n v="381"/>
        <n v="1127"/>
        <n v="839"/>
        <n v="910"/>
        <n v="987"/>
        <n v="390"/>
        <n v="867"/>
        <n v="982"/>
        <n v="531"/>
        <n v="834"/>
        <n v="703"/>
        <n v="744"/>
        <n v="598"/>
        <n v="563"/>
        <n v="589"/>
        <n v="323"/>
        <n v="470"/>
        <n v="495"/>
        <n v="324"/>
        <n v="774"/>
        <n v="517"/>
        <n v="335"/>
        <n v="619"/>
        <n v="791"/>
        <n v="1007"/>
        <n v="303"/>
        <n v="257"/>
        <n v="243"/>
        <n v="820"/>
        <n v="397"/>
        <n v="756"/>
        <n v="500"/>
        <n v="1083"/>
        <n v="565"/>
        <n v="369"/>
        <n v="1097"/>
        <n v="689"/>
        <n v="548"/>
        <n v="1062"/>
        <n v="433"/>
        <n v="675"/>
        <n v="681"/>
        <n v="371"/>
        <n v="755"/>
        <n v="808"/>
        <n v="266"/>
        <n v="794"/>
        <n v="245"/>
        <n v="1095"/>
        <n v="1139"/>
        <n v="907"/>
        <n v="624"/>
        <n v="803"/>
        <n v="1049"/>
        <n v="279"/>
        <n v="886"/>
        <n v="320"/>
        <n v="581"/>
        <n v="665"/>
        <n v="345"/>
        <n v="786"/>
        <n v="1010"/>
        <n v="843"/>
        <n v="947"/>
        <n v="555"/>
        <n v="713"/>
        <n v="747"/>
        <n v="792"/>
        <n v="460"/>
        <n v="596"/>
        <n v="804"/>
        <n v="640"/>
        <n v="612"/>
        <n v="768"/>
        <n v="319"/>
        <n v="499"/>
        <n v="459"/>
        <n v="307"/>
        <n v="998"/>
        <n v="816"/>
        <n v="1107"/>
        <n v="811"/>
        <n v="945"/>
        <n v="406"/>
        <n v="800"/>
        <n v="734"/>
        <n v="1015"/>
        <n v="961"/>
        <n v="897"/>
        <n v="435"/>
        <n v="629"/>
        <n v="857"/>
        <n v="377"/>
        <n v="1060"/>
        <n v="1112"/>
        <n v="715"/>
        <n v="1069"/>
        <n v="842"/>
        <n v="812"/>
        <n v="759"/>
        <n v="428"/>
        <n v="700"/>
        <n v="878"/>
        <n v="297"/>
        <n v="477"/>
        <n v="1093"/>
        <n v="452"/>
        <n v="702"/>
        <n v="662"/>
        <n v="287"/>
        <n v="718"/>
        <n v="457"/>
        <n v="814"/>
        <n v="752"/>
        <n v="841"/>
        <n v="891"/>
        <n v="977"/>
        <n v="730"/>
        <n v="1105"/>
        <n v="643"/>
        <n v="970"/>
        <n v="788"/>
        <n v="749"/>
        <n v="396"/>
        <n v="492"/>
        <n v="315"/>
        <n v="299"/>
        <n v="1074"/>
        <n v="1146"/>
        <n v="958"/>
        <n v="880"/>
        <n v="630"/>
        <n v="439"/>
        <n v="785"/>
        <n v="538"/>
        <n v="903"/>
        <n v="251"/>
        <n v="405"/>
        <n v="728"/>
        <n v="480"/>
        <n v="518"/>
        <n v="358"/>
        <n v="250"/>
        <n v="560"/>
        <n v="534"/>
        <n v="693"/>
        <n v="679"/>
        <n v="1129"/>
        <n v="1135"/>
        <n v="954"/>
        <n v="258"/>
        <n v="600"/>
        <n v="980"/>
        <n v="605"/>
        <n v="573"/>
        <n v="338"/>
        <n v="604"/>
        <n v="916"/>
        <n v="1125"/>
        <n v="956"/>
        <n v="1079"/>
        <n v="489"/>
        <n v="615"/>
        <n v="621"/>
        <n v="789"/>
        <n v="1084"/>
        <n v="722"/>
        <n v="327"/>
        <n v="1123"/>
        <n v="913"/>
        <n v="856"/>
        <n v="656"/>
        <n v="1072"/>
        <n v="282"/>
        <n v="453"/>
        <n v="1088"/>
        <n v="1100"/>
        <n v="991"/>
        <n v="1133"/>
        <n v="798"/>
        <n v="469"/>
        <n v="485"/>
        <n v="1149"/>
        <n v="472"/>
        <n v="393"/>
        <n v="277"/>
        <n v="655"/>
        <n v="1089"/>
        <n v="240"/>
        <n v="1104"/>
        <n v="426"/>
        <n v="657"/>
        <n v="295"/>
        <n v="840"/>
        <n v="951"/>
        <n v="905"/>
        <n v="1047"/>
        <n v="467"/>
        <n v="963"/>
        <n v="527"/>
        <n v="965"/>
        <n v="805"/>
        <n v="875"/>
        <n v="554"/>
        <n v="863"/>
        <n v="316"/>
        <n v="1121"/>
        <n v="635"/>
        <n v="562"/>
        <n v="926"/>
        <n v="330"/>
        <n v="1053"/>
        <n v="817"/>
        <n v="632"/>
        <n v="898"/>
        <n v="1070"/>
        <n v="505"/>
        <n v="617"/>
        <n v="449"/>
        <n v="685"/>
        <n v="997"/>
        <n v="306"/>
        <n v="1090"/>
        <n v="908"/>
        <n v="830"/>
        <n v="592"/>
        <n v="1087"/>
        <n v="520"/>
        <n v="514"/>
        <n v="473"/>
        <n v="949"/>
        <n v="837"/>
        <n v="889"/>
        <n v="773"/>
        <n v="272"/>
        <n v="367"/>
        <n v="793"/>
        <n v="882"/>
        <n v="588"/>
        <n v="541"/>
        <n v="463"/>
        <n v="736"/>
        <n v="813"/>
        <n v="417"/>
        <n v="571"/>
        <n v="360"/>
        <n v="993"/>
        <n v="468"/>
        <n v="461"/>
        <n v="389"/>
        <n v="525"/>
        <n v="1101"/>
        <n v="533"/>
        <n v="344"/>
      </sharedItems>
    </cacheField>
    <cacheField name="Overdue" numFmtId="0">
      <sharedItems count="3">
        <s v="1 Year+"/>
        <s v="Settled"/>
        <s v="91-365"/>
      </sharedItems>
    </cacheField>
    <cacheField name="Terms" numFmtId="0">
      <sharedItems count="1">
        <s v="Net 30"/>
      </sharedItems>
    </cacheField>
    <cacheField name="Amount in USD" numFmtId="43">
      <sharedItems containsSemiMixedTypes="0" containsString="0" containsNumber="1" minValue="89.4572" maxValue="7211.3864999999996"/>
    </cacheField>
    <cacheField name="Amount Paid" numFmtId="43">
      <sharedItems containsSemiMixedTypes="0" containsString="0" containsNumber="1" minValue="0" maxValue="7158.36"/>
    </cacheField>
    <cacheField name="Remaining Balance" numFmtId="43">
      <sharedItems containsSemiMixedTypes="0" containsString="0" containsNumber="1" minValue="0" maxValue="7022.2485000000006"/>
    </cacheField>
  </cacheFields>
  <extLst>
    <ext xmlns:x14="http://schemas.microsoft.com/office/spreadsheetml/2009/9/main" uri="{725AE2AE-9491-48be-B2B4-4EB974FC3084}">
      <x14:pivotCacheDefinition pivotCacheId="1448183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d v="2024-12-16T00:00:00"/>
    <d v="2025-01-15T00:00:00"/>
    <n v="344.25"/>
    <x v="0"/>
    <x v="0"/>
    <s v="Pending"/>
    <x v="0"/>
    <x v="0"/>
    <x v="0"/>
    <n v="296.05500000000001"/>
    <n v="0"/>
    <n v="296.05500000000001"/>
  </r>
  <r>
    <x v="1"/>
    <x v="0"/>
    <d v="2024-05-18T00:00:00"/>
    <d v="2024-06-17T00:00:00"/>
    <n v="3298.38"/>
    <x v="1"/>
    <x v="1"/>
    <s v="Pending"/>
    <x v="1"/>
    <x v="0"/>
    <x v="0"/>
    <n v="4551.7644"/>
    <n v="2275.8822"/>
    <n v="2275.8822"/>
  </r>
  <r>
    <x v="2"/>
    <x v="1"/>
    <d v="2024-02-25T00:00:00"/>
    <d v="2024-03-26T00:00:00"/>
    <n v="1023.43"/>
    <x v="2"/>
    <x v="0"/>
    <s v="Pending"/>
    <x v="2"/>
    <x v="0"/>
    <x v="0"/>
    <n v="767.57249999999999"/>
    <n v="0"/>
    <n v="767.57249999999999"/>
  </r>
  <r>
    <x v="3"/>
    <x v="2"/>
    <d v="2024-01-08T00:00:00"/>
    <d v="2024-02-07T00:00:00"/>
    <n v="4433.05"/>
    <x v="3"/>
    <x v="1"/>
    <s v="Pending"/>
    <x v="3"/>
    <x v="0"/>
    <x v="0"/>
    <n v="4433.05"/>
    <n v="2216.5250000000001"/>
    <n v="2216.5250000000001"/>
  </r>
  <r>
    <x v="4"/>
    <x v="2"/>
    <d v="2024-05-23T00:00:00"/>
    <d v="2024-06-22T00:00:00"/>
    <n v="4345.1400000000003"/>
    <x v="2"/>
    <x v="1"/>
    <s v="Pending"/>
    <x v="4"/>
    <x v="0"/>
    <x v="0"/>
    <n v="3258.8550000000005"/>
    <n v="1629.4275000000002"/>
    <n v="1629.4275000000002"/>
  </r>
  <r>
    <x v="5"/>
    <x v="1"/>
    <d v="2024-07-09T00:00:00"/>
    <d v="2024-08-08T00:00:00"/>
    <n v="1599.18"/>
    <x v="4"/>
    <x v="0"/>
    <s v="Pending"/>
    <x v="5"/>
    <x v="0"/>
    <x v="0"/>
    <n v="2318.8110000000001"/>
    <n v="0"/>
    <n v="2318.8110000000001"/>
  </r>
  <r>
    <x v="6"/>
    <x v="0"/>
    <d v="2024-12-20T00:00:00"/>
    <d v="2025-01-19T00:00:00"/>
    <n v="894.13"/>
    <x v="3"/>
    <x v="0"/>
    <s v="Pending"/>
    <x v="6"/>
    <x v="0"/>
    <x v="0"/>
    <n v="894.13"/>
    <n v="0"/>
    <n v="894.13"/>
  </r>
  <r>
    <x v="7"/>
    <x v="1"/>
    <d v="2024-09-25T00:00:00"/>
    <d v="2024-10-25T00:00:00"/>
    <n v="1303.06"/>
    <x v="2"/>
    <x v="2"/>
    <d v="2024-10-25T00:00:00"/>
    <x v="7"/>
    <x v="1"/>
    <x v="0"/>
    <n v="977.29499999999996"/>
    <n v="977.29499999999996"/>
    <n v="0"/>
  </r>
  <r>
    <x v="8"/>
    <x v="2"/>
    <d v="2024-02-12T00:00:00"/>
    <d v="2024-03-13T00:00:00"/>
    <n v="3481.8"/>
    <x v="1"/>
    <x v="2"/>
    <d v="2024-03-13T00:00:00"/>
    <x v="7"/>
    <x v="1"/>
    <x v="0"/>
    <n v="4804.884"/>
    <n v="4804.884"/>
    <n v="0"/>
  </r>
  <r>
    <x v="9"/>
    <x v="2"/>
    <d v="2024-06-27T00:00:00"/>
    <d v="2024-07-27T00:00:00"/>
    <n v="217.97"/>
    <x v="3"/>
    <x v="0"/>
    <s v="Pending"/>
    <x v="8"/>
    <x v="0"/>
    <x v="0"/>
    <n v="217.97"/>
    <n v="0"/>
    <n v="217.97"/>
  </r>
  <r>
    <x v="10"/>
    <x v="0"/>
    <d v="2024-03-09T00:00:00"/>
    <d v="2024-04-08T00:00:00"/>
    <n v="1809.07"/>
    <x v="0"/>
    <x v="1"/>
    <s v="Pending"/>
    <x v="9"/>
    <x v="0"/>
    <x v="0"/>
    <n v="1555.8001999999999"/>
    <n v="777.90009999999995"/>
    <n v="777.90009999999995"/>
  </r>
  <r>
    <x v="11"/>
    <x v="0"/>
    <d v="2024-10-10T00:00:00"/>
    <d v="2024-11-09T00:00:00"/>
    <n v="884.1"/>
    <x v="3"/>
    <x v="0"/>
    <s v="Pending"/>
    <x v="10"/>
    <x v="0"/>
    <x v="0"/>
    <n v="884.1"/>
    <n v="0"/>
    <n v="884.1"/>
  </r>
  <r>
    <x v="12"/>
    <x v="2"/>
    <d v="2023-05-19T00:00:00"/>
    <d v="2023-06-18T00:00:00"/>
    <n v="1491.7"/>
    <x v="2"/>
    <x v="0"/>
    <s v="Pending"/>
    <x v="11"/>
    <x v="0"/>
    <x v="0"/>
    <n v="1118.7750000000001"/>
    <n v="0"/>
    <n v="1118.7750000000001"/>
  </r>
  <r>
    <x v="13"/>
    <x v="2"/>
    <d v="2023-11-19T00:00:00"/>
    <d v="2023-12-19T00:00:00"/>
    <n v="4212.17"/>
    <x v="4"/>
    <x v="2"/>
    <d v="2023-12-19T00:00:00"/>
    <x v="7"/>
    <x v="1"/>
    <x v="0"/>
    <n v="6107.6464999999998"/>
    <n v="6107.6464999999998"/>
    <n v="0"/>
  </r>
  <r>
    <x v="14"/>
    <x v="0"/>
    <d v="2024-05-05T00:00:00"/>
    <d v="2024-06-04T00:00:00"/>
    <n v="1632.82"/>
    <x v="2"/>
    <x v="0"/>
    <s v="Pending"/>
    <x v="12"/>
    <x v="0"/>
    <x v="0"/>
    <n v="1224.615"/>
    <n v="0"/>
    <n v="1224.615"/>
  </r>
  <r>
    <x v="15"/>
    <x v="0"/>
    <d v="2023-06-04T00:00:00"/>
    <d v="2023-07-04T00:00:00"/>
    <n v="1887.67"/>
    <x v="0"/>
    <x v="2"/>
    <d v="2023-07-04T00:00:00"/>
    <x v="7"/>
    <x v="1"/>
    <x v="0"/>
    <n v="1623.3962000000001"/>
    <n v="1623.3962000000001"/>
    <n v="0"/>
  </r>
  <r>
    <x v="16"/>
    <x v="0"/>
    <d v="2023-12-10T00:00:00"/>
    <d v="2024-01-09T00:00:00"/>
    <n v="1721.41"/>
    <x v="2"/>
    <x v="0"/>
    <s v="Pending"/>
    <x v="13"/>
    <x v="0"/>
    <x v="0"/>
    <n v="1291.0575000000001"/>
    <n v="0"/>
    <n v="1291.0575000000001"/>
  </r>
  <r>
    <x v="17"/>
    <x v="3"/>
    <d v="2024-12-30T00:00:00"/>
    <d v="2025-01-29T00:00:00"/>
    <n v="2941.63"/>
    <x v="3"/>
    <x v="0"/>
    <s v="Pending"/>
    <x v="14"/>
    <x v="0"/>
    <x v="0"/>
    <n v="2941.63"/>
    <n v="0"/>
    <n v="2941.63"/>
  </r>
  <r>
    <x v="18"/>
    <x v="1"/>
    <d v="2024-06-27T00:00:00"/>
    <d v="2024-07-27T00:00:00"/>
    <n v="889.44"/>
    <x v="3"/>
    <x v="2"/>
    <d v="2024-07-27T00:00:00"/>
    <x v="7"/>
    <x v="1"/>
    <x v="0"/>
    <n v="889.44"/>
    <n v="889.44"/>
    <n v="0"/>
  </r>
  <r>
    <x v="19"/>
    <x v="1"/>
    <d v="2025-03-28T00:00:00"/>
    <d v="2025-04-27T00:00:00"/>
    <n v="1539.53"/>
    <x v="4"/>
    <x v="1"/>
    <s v="Pending"/>
    <x v="15"/>
    <x v="2"/>
    <x v="0"/>
    <n v="2232.3184999999999"/>
    <n v="1116.1592499999999"/>
    <n v="1116.1592499999999"/>
  </r>
  <r>
    <x v="20"/>
    <x v="4"/>
    <d v="2023-07-14T00:00:00"/>
    <d v="2023-08-13T00:00:00"/>
    <n v="996.27"/>
    <x v="4"/>
    <x v="0"/>
    <s v="Pending"/>
    <x v="16"/>
    <x v="0"/>
    <x v="0"/>
    <n v="1444.5915"/>
    <n v="0"/>
    <n v="1444.5915"/>
  </r>
  <r>
    <x v="21"/>
    <x v="4"/>
    <d v="2023-06-28T00:00:00"/>
    <d v="2023-07-28T00:00:00"/>
    <n v="2450.1"/>
    <x v="1"/>
    <x v="1"/>
    <s v="Pending"/>
    <x v="17"/>
    <x v="0"/>
    <x v="0"/>
    <n v="3381.1379999999995"/>
    <n v="1690.5689999999997"/>
    <n v="1690.5689999999997"/>
  </r>
  <r>
    <x v="22"/>
    <x v="3"/>
    <d v="2024-12-27T00:00:00"/>
    <d v="2025-01-26T00:00:00"/>
    <n v="797.8"/>
    <x v="1"/>
    <x v="0"/>
    <s v="Pending"/>
    <x v="18"/>
    <x v="0"/>
    <x v="0"/>
    <n v="1100.9639999999999"/>
    <n v="0"/>
    <n v="1100.9639999999999"/>
  </r>
  <r>
    <x v="23"/>
    <x v="0"/>
    <d v="2023-05-16T00:00:00"/>
    <d v="2023-06-15T00:00:00"/>
    <n v="4237.6499999999996"/>
    <x v="2"/>
    <x v="1"/>
    <s v="Pending"/>
    <x v="19"/>
    <x v="0"/>
    <x v="0"/>
    <n v="3178.2374999999997"/>
    <n v="1589.1187499999999"/>
    <n v="1589.1187499999999"/>
  </r>
  <r>
    <x v="24"/>
    <x v="3"/>
    <d v="2023-09-30T00:00:00"/>
    <d v="2023-10-30T00:00:00"/>
    <n v="665.06"/>
    <x v="4"/>
    <x v="0"/>
    <s v="Pending"/>
    <x v="20"/>
    <x v="0"/>
    <x v="0"/>
    <n v="964.33699999999988"/>
    <n v="0"/>
    <n v="964.33699999999988"/>
  </r>
  <r>
    <x v="25"/>
    <x v="3"/>
    <d v="2024-12-14T00:00:00"/>
    <d v="2025-01-13T00:00:00"/>
    <n v="3849.16"/>
    <x v="2"/>
    <x v="1"/>
    <s v="Pending"/>
    <x v="21"/>
    <x v="0"/>
    <x v="0"/>
    <n v="2886.87"/>
    <n v="1443.4349999999999"/>
    <n v="1443.4349999999999"/>
  </r>
  <r>
    <x v="26"/>
    <x v="0"/>
    <d v="2023-07-17T00:00:00"/>
    <d v="2023-08-16T00:00:00"/>
    <n v="4411.88"/>
    <x v="1"/>
    <x v="2"/>
    <d v="2023-08-16T00:00:00"/>
    <x v="7"/>
    <x v="1"/>
    <x v="0"/>
    <n v="6088.3944000000001"/>
    <n v="6088.3944000000001"/>
    <n v="0"/>
  </r>
  <r>
    <x v="27"/>
    <x v="1"/>
    <d v="2024-03-25T00:00:00"/>
    <d v="2024-04-24T00:00:00"/>
    <n v="296.64999999999998"/>
    <x v="3"/>
    <x v="2"/>
    <d v="2024-04-24T00:00:00"/>
    <x v="7"/>
    <x v="1"/>
    <x v="0"/>
    <n v="296.64999999999998"/>
    <n v="296.64999999999998"/>
    <n v="0"/>
  </r>
  <r>
    <x v="28"/>
    <x v="4"/>
    <d v="2024-10-28T00:00:00"/>
    <d v="2024-11-27T00:00:00"/>
    <n v="3099.8"/>
    <x v="2"/>
    <x v="0"/>
    <s v="Pending"/>
    <x v="22"/>
    <x v="0"/>
    <x v="0"/>
    <n v="2324.8500000000004"/>
    <n v="0"/>
    <n v="2324.8500000000004"/>
  </r>
  <r>
    <x v="29"/>
    <x v="3"/>
    <d v="2023-03-06T00:00:00"/>
    <d v="2023-04-05T00:00:00"/>
    <n v="4007.29"/>
    <x v="1"/>
    <x v="0"/>
    <s v="Pending"/>
    <x v="23"/>
    <x v="0"/>
    <x v="0"/>
    <n v="5530.0601999999999"/>
    <n v="0"/>
    <n v="5530.0601999999999"/>
  </r>
  <r>
    <x v="30"/>
    <x v="1"/>
    <d v="2024-02-13T00:00:00"/>
    <d v="2024-03-14T00:00:00"/>
    <n v="2884.32"/>
    <x v="1"/>
    <x v="1"/>
    <s v="Pending"/>
    <x v="24"/>
    <x v="0"/>
    <x v="0"/>
    <n v="3980.3615999999997"/>
    <n v="1990.1807999999999"/>
    <n v="1990.1807999999999"/>
  </r>
  <r>
    <x v="31"/>
    <x v="1"/>
    <d v="2023-03-15T00:00:00"/>
    <d v="2023-04-14T00:00:00"/>
    <n v="4830.24"/>
    <x v="0"/>
    <x v="2"/>
    <d v="2023-04-14T00:00:00"/>
    <x v="7"/>
    <x v="1"/>
    <x v="0"/>
    <n v="4154.0063999999993"/>
    <n v="4154.0063999999993"/>
    <n v="0"/>
  </r>
  <r>
    <x v="32"/>
    <x v="3"/>
    <d v="2023-10-11T00:00:00"/>
    <d v="2023-11-10T00:00:00"/>
    <n v="4841.22"/>
    <x v="3"/>
    <x v="2"/>
    <d v="2023-11-10T00:00:00"/>
    <x v="7"/>
    <x v="1"/>
    <x v="0"/>
    <n v="4841.22"/>
    <n v="4841.22"/>
    <n v="0"/>
  </r>
  <r>
    <x v="33"/>
    <x v="2"/>
    <d v="2024-11-02T00:00:00"/>
    <d v="2024-12-02T00:00:00"/>
    <n v="3601.17"/>
    <x v="4"/>
    <x v="0"/>
    <s v="Pending"/>
    <x v="25"/>
    <x v="0"/>
    <x v="0"/>
    <n v="5221.6965"/>
    <n v="0"/>
    <n v="5221.6965"/>
  </r>
  <r>
    <x v="34"/>
    <x v="1"/>
    <d v="2025-01-11T00:00:00"/>
    <d v="2025-02-10T00:00:00"/>
    <n v="3913.65"/>
    <x v="2"/>
    <x v="2"/>
    <d v="2025-02-10T00:00:00"/>
    <x v="7"/>
    <x v="1"/>
    <x v="0"/>
    <n v="2935.2375000000002"/>
    <n v="2935.2375000000002"/>
    <n v="0"/>
  </r>
  <r>
    <x v="35"/>
    <x v="2"/>
    <d v="2023-04-09T00:00:00"/>
    <d v="2023-05-09T00:00:00"/>
    <n v="1117.52"/>
    <x v="1"/>
    <x v="0"/>
    <s v="Pending"/>
    <x v="26"/>
    <x v="0"/>
    <x v="0"/>
    <n v="1542.1775999999998"/>
    <n v="0"/>
    <n v="1542.1775999999998"/>
  </r>
  <r>
    <x v="36"/>
    <x v="0"/>
    <d v="2023-07-21T00:00:00"/>
    <d v="2023-08-20T00:00:00"/>
    <n v="4178.2"/>
    <x v="1"/>
    <x v="1"/>
    <s v="Pending"/>
    <x v="27"/>
    <x v="0"/>
    <x v="0"/>
    <n v="5765.9159999999993"/>
    <n v="2882.9579999999996"/>
    <n v="2882.9579999999996"/>
  </r>
  <r>
    <x v="37"/>
    <x v="3"/>
    <d v="2024-07-31T00:00:00"/>
    <d v="2024-08-30T00:00:00"/>
    <n v="504.02"/>
    <x v="3"/>
    <x v="1"/>
    <s v="Pending"/>
    <x v="28"/>
    <x v="0"/>
    <x v="0"/>
    <n v="504.02"/>
    <n v="252.01"/>
    <n v="252.01"/>
  </r>
  <r>
    <x v="38"/>
    <x v="0"/>
    <d v="2023-01-08T00:00:00"/>
    <d v="2023-02-07T00:00:00"/>
    <n v="3156.05"/>
    <x v="2"/>
    <x v="0"/>
    <s v="Pending"/>
    <x v="29"/>
    <x v="0"/>
    <x v="0"/>
    <n v="2367.0375000000004"/>
    <n v="0"/>
    <n v="2367.0375000000004"/>
  </r>
  <r>
    <x v="39"/>
    <x v="3"/>
    <d v="2023-07-01T00:00:00"/>
    <d v="2023-07-31T00:00:00"/>
    <n v="3284.77"/>
    <x v="0"/>
    <x v="1"/>
    <s v="Pending"/>
    <x v="30"/>
    <x v="0"/>
    <x v="0"/>
    <n v="2824.9022"/>
    <n v="1412.4511"/>
    <n v="1412.4511"/>
  </r>
  <r>
    <x v="40"/>
    <x v="3"/>
    <d v="2025-05-24T00:00:00"/>
    <d v="2025-06-23T00:00:00"/>
    <n v="4519.76"/>
    <x v="3"/>
    <x v="0"/>
    <s v="Pending"/>
    <x v="31"/>
    <x v="2"/>
    <x v="0"/>
    <n v="4519.76"/>
    <n v="0"/>
    <n v="4519.76"/>
  </r>
  <r>
    <x v="41"/>
    <x v="0"/>
    <d v="2024-01-22T00:00:00"/>
    <d v="2024-02-21T00:00:00"/>
    <n v="4094.28"/>
    <x v="0"/>
    <x v="1"/>
    <s v="Pending"/>
    <x v="32"/>
    <x v="0"/>
    <x v="0"/>
    <n v="3521.0808000000002"/>
    <n v="1760.5404000000001"/>
    <n v="1760.5404000000001"/>
  </r>
  <r>
    <x v="42"/>
    <x v="0"/>
    <d v="2023-02-10T00:00:00"/>
    <d v="2023-03-12T00:00:00"/>
    <n v="3097.79"/>
    <x v="0"/>
    <x v="2"/>
    <d v="2023-03-12T00:00:00"/>
    <x v="7"/>
    <x v="1"/>
    <x v="0"/>
    <n v="2664.0994000000001"/>
    <n v="2664.0994000000001"/>
    <n v="0"/>
  </r>
  <r>
    <x v="43"/>
    <x v="1"/>
    <d v="2025-06-01T00:00:00"/>
    <d v="2025-07-01T00:00:00"/>
    <n v="1415.24"/>
    <x v="4"/>
    <x v="1"/>
    <s v="Pending"/>
    <x v="33"/>
    <x v="2"/>
    <x v="0"/>
    <n v="2052.098"/>
    <n v="1026.049"/>
    <n v="1026.049"/>
  </r>
  <r>
    <x v="44"/>
    <x v="0"/>
    <d v="2023-06-25T00:00:00"/>
    <d v="2023-07-25T00:00:00"/>
    <n v="3224.33"/>
    <x v="2"/>
    <x v="1"/>
    <s v="Pending"/>
    <x v="34"/>
    <x v="0"/>
    <x v="0"/>
    <n v="2418.2474999999999"/>
    <n v="1209.12375"/>
    <n v="1209.12375"/>
  </r>
  <r>
    <x v="45"/>
    <x v="4"/>
    <d v="2023-06-26T00:00:00"/>
    <d v="2023-07-26T00:00:00"/>
    <n v="1164.49"/>
    <x v="3"/>
    <x v="1"/>
    <s v="Pending"/>
    <x v="35"/>
    <x v="0"/>
    <x v="0"/>
    <n v="1164.49"/>
    <n v="582.245"/>
    <n v="582.245"/>
  </r>
  <r>
    <x v="46"/>
    <x v="4"/>
    <d v="2025-01-11T00:00:00"/>
    <d v="2025-02-10T00:00:00"/>
    <n v="2557.61"/>
    <x v="3"/>
    <x v="2"/>
    <d v="2025-02-10T00:00:00"/>
    <x v="7"/>
    <x v="1"/>
    <x v="0"/>
    <n v="2557.61"/>
    <n v="2557.61"/>
    <n v="0"/>
  </r>
  <r>
    <x v="47"/>
    <x v="0"/>
    <d v="2025-01-25T00:00:00"/>
    <d v="2025-02-24T00:00:00"/>
    <n v="393.4"/>
    <x v="2"/>
    <x v="0"/>
    <s v="Pending"/>
    <x v="36"/>
    <x v="0"/>
    <x v="0"/>
    <n v="295.04999999999995"/>
    <n v="0"/>
    <n v="295.04999999999995"/>
  </r>
  <r>
    <x v="48"/>
    <x v="3"/>
    <d v="2025-03-17T00:00:00"/>
    <d v="2025-04-16T00:00:00"/>
    <n v="2307.0500000000002"/>
    <x v="1"/>
    <x v="2"/>
    <d v="2025-04-16T00:00:00"/>
    <x v="7"/>
    <x v="1"/>
    <x v="0"/>
    <n v="3183.7289999999998"/>
    <n v="3183.7289999999998"/>
    <n v="0"/>
  </r>
  <r>
    <x v="49"/>
    <x v="0"/>
    <d v="2023-09-28T00:00:00"/>
    <d v="2023-10-28T00:00:00"/>
    <n v="728.35"/>
    <x v="2"/>
    <x v="2"/>
    <d v="2023-10-28T00:00:00"/>
    <x v="7"/>
    <x v="1"/>
    <x v="0"/>
    <n v="546.26250000000005"/>
    <n v="546.26250000000005"/>
    <n v="0"/>
  </r>
  <r>
    <x v="50"/>
    <x v="1"/>
    <d v="2025-05-24T00:00:00"/>
    <d v="2025-06-23T00:00:00"/>
    <n v="3580.44"/>
    <x v="2"/>
    <x v="0"/>
    <s v="Pending"/>
    <x v="31"/>
    <x v="2"/>
    <x v="0"/>
    <n v="2685.33"/>
    <n v="0"/>
    <n v="2685.33"/>
  </r>
  <r>
    <x v="51"/>
    <x v="0"/>
    <d v="2024-03-31T00:00:00"/>
    <d v="2024-04-30T00:00:00"/>
    <n v="1527.67"/>
    <x v="4"/>
    <x v="2"/>
    <d v="2024-04-30T00:00:00"/>
    <x v="7"/>
    <x v="1"/>
    <x v="0"/>
    <n v="2215.1215000000002"/>
    <n v="2215.1215000000002"/>
    <n v="0"/>
  </r>
  <r>
    <x v="52"/>
    <x v="0"/>
    <d v="2023-04-23T00:00:00"/>
    <d v="2023-05-23T00:00:00"/>
    <n v="3014.35"/>
    <x v="1"/>
    <x v="2"/>
    <d v="2023-05-23T00:00:00"/>
    <x v="7"/>
    <x v="1"/>
    <x v="0"/>
    <n v="4159.8029999999999"/>
    <n v="4159.8029999999999"/>
    <n v="0"/>
  </r>
  <r>
    <x v="53"/>
    <x v="2"/>
    <d v="2023-08-24T00:00:00"/>
    <d v="2023-09-23T00:00:00"/>
    <n v="3099.88"/>
    <x v="1"/>
    <x v="1"/>
    <s v="Pending"/>
    <x v="37"/>
    <x v="0"/>
    <x v="0"/>
    <n v="4277.8343999999997"/>
    <n v="2138.9171999999999"/>
    <n v="2138.9171999999999"/>
  </r>
  <r>
    <x v="54"/>
    <x v="0"/>
    <d v="2023-05-09T00:00:00"/>
    <d v="2023-06-08T00:00:00"/>
    <n v="1484.54"/>
    <x v="4"/>
    <x v="1"/>
    <s v="Pending"/>
    <x v="38"/>
    <x v="0"/>
    <x v="0"/>
    <n v="2152.5830000000001"/>
    <n v="1076.2915"/>
    <n v="1076.2915"/>
  </r>
  <r>
    <x v="55"/>
    <x v="4"/>
    <d v="2023-12-19T00:00:00"/>
    <d v="2024-01-18T00:00:00"/>
    <n v="2922.4"/>
    <x v="4"/>
    <x v="1"/>
    <s v="Pending"/>
    <x v="39"/>
    <x v="0"/>
    <x v="0"/>
    <n v="4237.4799999999996"/>
    <n v="2118.7399999999998"/>
    <n v="2118.7399999999998"/>
  </r>
  <r>
    <x v="56"/>
    <x v="3"/>
    <d v="2023-11-08T00:00:00"/>
    <d v="2023-12-08T00:00:00"/>
    <n v="422.98"/>
    <x v="3"/>
    <x v="2"/>
    <d v="2023-12-08T00:00:00"/>
    <x v="7"/>
    <x v="1"/>
    <x v="0"/>
    <n v="422.98"/>
    <n v="422.98"/>
    <n v="0"/>
  </r>
  <r>
    <x v="57"/>
    <x v="0"/>
    <d v="2023-01-03T00:00:00"/>
    <d v="2023-02-02T00:00:00"/>
    <n v="2784.23"/>
    <x v="3"/>
    <x v="1"/>
    <s v="Pending"/>
    <x v="40"/>
    <x v="0"/>
    <x v="0"/>
    <n v="2784.23"/>
    <n v="1392.115"/>
    <n v="1392.115"/>
  </r>
  <r>
    <x v="58"/>
    <x v="4"/>
    <d v="2024-06-19T00:00:00"/>
    <d v="2024-07-19T00:00:00"/>
    <n v="2946.12"/>
    <x v="1"/>
    <x v="0"/>
    <s v="Pending"/>
    <x v="41"/>
    <x v="0"/>
    <x v="0"/>
    <n v="4065.6455999999994"/>
    <n v="0"/>
    <n v="4065.6455999999994"/>
  </r>
  <r>
    <x v="59"/>
    <x v="0"/>
    <d v="2025-03-09T00:00:00"/>
    <d v="2025-04-08T00:00:00"/>
    <n v="578.58000000000004"/>
    <x v="2"/>
    <x v="1"/>
    <s v="Pending"/>
    <x v="42"/>
    <x v="2"/>
    <x v="0"/>
    <n v="433.93500000000006"/>
    <n v="216.96750000000003"/>
    <n v="216.96750000000003"/>
  </r>
  <r>
    <x v="60"/>
    <x v="0"/>
    <d v="2024-05-28T00:00:00"/>
    <d v="2024-06-27T00:00:00"/>
    <n v="3849.56"/>
    <x v="2"/>
    <x v="2"/>
    <d v="2024-06-27T00:00:00"/>
    <x v="7"/>
    <x v="1"/>
    <x v="0"/>
    <n v="2887.17"/>
    <n v="2887.17"/>
    <n v="0"/>
  </r>
  <r>
    <x v="61"/>
    <x v="0"/>
    <d v="2024-04-26T00:00:00"/>
    <d v="2024-05-26T00:00:00"/>
    <n v="2055.5300000000002"/>
    <x v="1"/>
    <x v="1"/>
    <s v="Pending"/>
    <x v="43"/>
    <x v="0"/>
    <x v="0"/>
    <n v="2836.6314000000002"/>
    <n v="1418.3157000000001"/>
    <n v="1418.3157000000001"/>
  </r>
  <r>
    <x v="62"/>
    <x v="2"/>
    <d v="2023-02-24T00:00:00"/>
    <d v="2023-03-26T00:00:00"/>
    <n v="2185.3200000000002"/>
    <x v="4"/>
    <x v="2"/>
    <d v="2023-03-26T00:00:00"/>
    <x v="7"/>
    <x v="1"/>
    <x v="0"/>
    <n v="3168.7139999999999"/>
    <n v="3168.7139999999999"/>
    <n v="0"/>
  </r>
  <r>
    <x v="63"/>
    <x v="0"/>
    <d v="2025-02-15T00:00:00"/>
    <d v="2025-03-17T00:00:00"/>
    <n v="3382.98"/>
    <x v="2"/>
    <x v="2"/>
    <d v="2025-03-17T00:00:00"/>
    <x v="7"/>
    <x v="1"/>
    <x v="0"/>
    <n v="2537.2350000000001"/>
    <n v="2537.2350000000001"/>
    <n v="0"/>
  </r>
  <r>
    <x v="64"/>
    <x v="1"/>
    <d v="2024-04-22T00:00:00"/>
    <d v="2024-05-22T00:00:00"/>
    <n v="3571.55"/>
    <x v="2"/>
    <x v="1"/>
    <s v="Pending"/>
    <x v="44"/>
    <x v="0"/>
    <x v="0"/>
    <n v="2678.6625000000004"/>
    <n v="1339.3312500000002"/>
    <n v="1339.3312500000002"/>
  </r>
  <r>
    <x v="65"/>
    <x v="2"/>
    <d v="2025-04-15T00:00:00"/>
    <d v="2025-05-15T00:00:00"/>
    <n v="2137.4499999999998"/>
    <x v="3"/>
    <x v="0"/>
    <s v="Pending"/>
    <x v="45"/>
    <x v="2"/>
    <x v="0"/>
    <n v="2137.4499999999998"/>
    <n v="0"/>
    <n v="2137.4499999999998"/>
  </r>
  <r>
    <x v="66"/>
    <x v="4"/>
    <d v="2025-02-09T00:00:00"/>
    <d v="2025-03-11T00:00:00"/>
    <n v="3793.28"/>
    <x v="3"/>
    <x v="2"/>
    <d v="2025-03-11T00:00:00"/>
    <x v="7"/>
    <x v="1"/>
    <x v="0"/>
    <n v="3793.28"/>
    <n v="3793.28"/>
    <n v="0"/>
  </r>
  <r>
    <x v="67"/>
    <x v="0"/>
    <d v="2025-01-03T00:00:00"/>
    <d v="2025-02-02T00:00:00"/>
    <n v="2973.27"/>
    <x v="1"/>
    <x v="2"/>
    <d v="2025-02-02T00:00:00"/>
    <x v="7"/>
    <x v="1"/>
    <x v="0"/>
    <n v="4103.1125999999995"/>
    <n v="4103.1125999999995"/>
    <n v="0"/>
  </r>
  <r>
    <x v="68"/>
    <x v="0"/>
    <d v="2024-07-24T00:00:00"/>
    <d v="2024-08-23T00:00:00"/>
    <n v="4968.32"/>
    <x v="3"/>
    <x v="0"/>
    <s v="Pending"/>
    <x v="46"/>
    <x v="0"/>
    <x v="0"/>
    <n v="4968.32"/>
    <n v="0"/>
    <n v="4968.32"/>
  </r>
  <r>
    <x v="69"/>
    <x v="0"/>
    <d v="2023-02-01T00:00:00"/>
    <d v="2023-03-03T00:00:00"/>
    <n v="4336.91"/>
    <x v="3"/>
    <x v="0"/>
    <s v="Pending"/>
    <x v="47"/>
    <x v="0"/>
    <x v="0"/>
    <n v="4336.91"/>
    <n v="0"/>
    <n v="4336.91"/>
  </r>
  <r>
    <x v="70"/>
    <x v="4"/>
    <d v="2024-12-03T00:00:00"/>
    <d v="2025-01-02T00:00:00"/>
    <n v="2479.9499999999998"/>
    <x v="3"/>
    <x v="2"/>
    <d v="2025-01-02T00:00:00"/>
    <x v="7"/>
    <x v="1"/>
    <x v="0"/>
    <n v="2479.9499999999998"/>
    <n v="2479.9499999999998"/>
    <n v="0"/>
  </r>
  <r>
    <x v="71"/>
    <x v="4"/>
    <d v="2025-06-13T00:00:00"/>
    <d v="2025-07-13T00:00:00"/>
    <n v="2498.69"/>
    <x v="3"/>
    <x v="0"/>
    <s v="Pending"/>
    <x v="48"/>
    <x v="2"/>
    <x v="0"/>
    <n v="2498.69"/>
    <n v="0"/>
    <n v="2498.69"/>
  </r>
  <r>
    <x v="72"/>
    <x v="1"/>
    <d v="2024-11-01T00:00:00"/>
    <d v="2024-12-01T00:00:00"/>
    <n v="2106.66"/>
    <x v="1"/>
    <x v="2"/>
    <d v="2024-12-01T00:00:00"/>
    <x v="7"/>
    <x v="1"/>
    <x v="0"/>
    <n v="2907.1907999999994"/>
    <n v="2907.1907999999994"/>
    <n v="0"/>
  </r>
  <r>
    <x v="73"/>
    <x v="0"/>
    <d v="2023-06-15T00:00:00"/>
    <d v="2023-07-15T00:00:00"/>
    <n v="2082.92"/>
    <x v="4"/>
    <x v="1"/>
    <s v="Pending"/>
    <x v="49"/>
    <x v="0"/>
    <x v="0"/>
    <n v="3020.2339999999999"/>
    <n v="1510.117"/>
    <n v="1510.117"/>
  </r>
  <r>
    <x v="74"/>
    <x v="2"/>
    <d v="2023-09-18T00:00:00"/>
    <d v="2023-10-18T00:00:00"/>
    <n v="3536.09"/>
    <x v="3"/>
    <x v="2"/>
    <d v="2023-10-18T00:00:00"/>
    <x v="7"/>
    <x v="1"/>
    <x v="0"/>
    <n v="3536.09"/>
    <n v="3536.09"/>
    <n v="0"/>
  </r>
  <r>
    <x v="75"/>
    <x v="0"/>
    <d v="2025-01-04T00:00:00"/>
    <d v="2025-02-03T00:00:00"/>
    <n v="3984.82"/>
    <x v="1"/>
    <x v="0"/>
    <s v="Pending"/>
    <x v="50"/>
    <x v="0"/>
    <x v="0"/>
    <n v="5499.0515999999998"/>
    <n v="0"/>
    <n v="5499.0515999999998"/>
  </r>
  <r>
    <x v="76"/>
    <x v="4"/>
    <d v="2023-05-22T00:00:00"/>
    <d v="2023-06-21T00:00:00"/>
    <n v="1175.94"/>
    <x v="3"/>
    <x v="1"/>
    <s v="Pending"/>
    <x v="51"/>
    <x v="0"/>
    <x v="0"/>
    <n v="1175.94"/>
    <n v="587.97"/>
    <n v="587.97"/>
  </r>
  <r>
    <x v="77"/>
    <x v="3"/>
    <d v="2024-09-21T00:00:00"/>
    <d v="2024-10-21T00:00:00"/>
    <n v="1596.04"/>
    <x v="4"/>
    <x v="2"/>
    <d v="2024-10-21T00:00:00"/>
    <x v="7"/>
    <x v="1"/>
    <x v="0"/>
    <n v="2314.2579999999998"/>
    <n v="2314.2579999999998"/>
    <n v="0"/>
  </r>
  <r>
    <x v="78"/>
    <x v="3"/>
    <d v="2024-04-19T00:00:00"/>
    <d v="2024-05-19T00:00:00"/>
    <n v="1687.52"/>
    <x v="3"/>
    <x v="2"/>
    <d v="2024-05-19T00:00:00"/>
    <x v="7"/>
    <x v="1"/>
    <x v="0"/>
    <n v="1687.52"/>
    <n v="1687.52"/>
    <n v="0"/>
  </r>
  <r>
    <x v="79"/>
    <x v="3"/>
    <d v="2023-08-23T00:00:00"/>
    <d v="2023-09-22T00:00:00"/>
    <n v="1247.56"/>
    <x v="3"/>
    <x v="2"/>
    <d v="2023-09-22T00:00:00"/>
    <x v="7"/>
    <x v="1"/>
    <x v="0"/>
    <n v="1247.56"/>
    <n v="1247.56"/>
    <n v="0"/>
  </r>
  <r>
    <x v="80"/>
    <x v="2"/>
    <d v="2025-06-03T00:00:00"/>
    <d v="2025-07-03T00:00:00"/>
    <n v="3330.96"/>
    <x v="4"/>
    <x v="1"/>
    <s v="Pending"/>
    <x v="52"/>
    <x v="2"/>
    <x v="0"/>
    <n v="4829.8919999999998"/>
    <n v="2414.9459999999999"/>
    <n v="2414.9459999999999"/>
  </r>
  <r>
    <x v="81"/>
    <x v="4"/>
    <d v="2024-09-26T00:00:00"/>
    <d v="2024-10-26T00:00:00"/>
    <n v="1612.59"/>
    <x v="0"/>
    <x v="0"/>
    <s v="Pending"/>
    <x v="53"/>
    <x v="0"/>
    <x v="0"/>
    <n v="1386.8273999999999"/>
    <n v="0"/>
    <n v="1386.8273999999999"/>
  </r>
  <r>
    <x v="82"/>
    <x v="3"/>
    <d v="2024-06-15T00:00:00"/>
    <d v="2024-07-15T00:00:00"/>
    <n v="1096.08"/>
    <x v="1"/>
    <x v="1"/>
    <s v="Pending"/>
    <x v="54"/>
    <x v="0"/>
    <x v="0"/>
    <n v="1512.5903999999998"/>
    <n v="756.29519999999991"/>
    <n v="756.29519999999991"/>
  </r>
  <r>
    <x v="83"/>
    <x v="2"/>
    <d v="2024-05-11T00:00:00"/>
    <d v="2024-06-10T00:00:00"/>
    <n v="1927.05"/>
    <x v="3"/>
    <x v="1"/>
    <s v="Pending"/>
    <x v="55"/>
    <x v="0"/>
    <x v="0"/>
    <n v="1927.05"/>
    <n v="963.52499999999998"/>
    <n v="963.52499999999998"/>
  </r>
  <r>
    <x v="84"/>
    <x v="2"/>
    <d v="2023-06-05T00:00:00"/>
    <d v="2023-07-05T00:00:00"/>
    <n v="1169.93"/>
    <x v="3"/>
    <x v="0"/>
    <s v="Pending"/>
    <x v="56"/>
    <x v="0"/>
    <x v="0"/>
    <n v="1169.93"/>
    <n v="0"/>
    <n v="1169.93"/>
  </r>
  <r>
    <x v="85"/>
    <x v="4"/>
    <d v="2025-06-12T00:00:00"/>
    <d v="2025-07-12T00:00:00"/>
    <n v="662.31"/>
    <x v="2"/>
    <x v="0"/>
    <s v="Pending"/>
    <x v="57"/>
    <x v="2"/>
    <x v="0"/>
    <n v="496.73249999999996"/>
    <n v="0"/>
    <n v="496.73249999999996"/>
  </r>
  <r>
    <x v="86"/>
    <x v="4"/>
    <d v="2023-07-04T00:00:00"/>
    <d v="2023-08-03T00:00:00"/>
    <n v="3443.5"/>
    <x v="1"/>
    <x v="2"/>
    <d v="2023-08-03T00:00:00"/>
    <x v="7"/>
    <x v="1"/>
    <x v="0"/>
    <n v="4752.03"/>
    <n v="4752.03"/>
    <n v="0"/>
  </r>
  <r>
    <x v="87"/>
    <x v="4"/>
    <d v="2024-06-13T00:00:00"/>
    <d v="2024-07-13T00:00:00"/>
    <n v="3290.86"/>
    <x v="1"/>
    <x v="2"/>
    <d v="2024-07-13T00:00:00"/>
    <x v="7"/>
    <x v="1"/>
    <x v="0"/>
    <n v="4541.3868000000002"/>
    <n v="4541.3868000000002"/>
    <n v="0"/>
  </r>
  <r>
    <x v="88"/>
    <x v="4"/>
    <d v="2025-03-21T00:00:00"/>
    <d v="2025-04-20T00:00:00"/>
    <n v="1872.61"/>
    <x v="0"/>
    <x v="0"/>
    <s v="Pending"/>
    <x v="58"/>
    <x v="2"/>
    <x v="0"/>
    <n v="1610.4445999999998"/>
    <n v="0"/>
    <n v="1610.4445999999998"/>
  </r>
  <r>
    <x v="89"/>
    <x v="4"/>
    <d v="2024-08-16T00:00:00"/>
    <d v="2024-09-15T00:00:00"/>
    <n v="307.49"/>
    <x v="2"/>
    <x v="0"/>
    <s v="Pending"/>
    <x v="59"/>
    <x v="0"/>
    <x v="0"/>
    <n v="230.61750000000001"/>
    <n v="0"/>
    <n v="230.61750000000001"/>
  </r>
  <r>
    <x v="90"/>
    <x v="4"/>
    <d v="2024-04-21T00:00:00"/>
    <d v="2024-05-21T00:00:00"/>
    <n v="211.08"/>
    <x v="4"/>
    <x v="1"/>
    <s v="Pending"/>
    <x v="60"/>
    <x v="0"/>
    <x v="0"/>
    <n v="306.06600000000003"/>
    <n v="153.03300000000002"/>
    <n v="153.03300000000002"/>
  </r>
  <r>
    <x v="91"/>
    <x v="4"/>
    <d v="2023-02-09T00:00:00"/>
    <d v="2023-03-11T00:00:00"/>
    <n v="2052.0100000000002"/>
    <x v="0"/>
    <x v="0"/>
    <s v="Pending"/>
    <x v="61"/>
    <x v="0"/>
    <x v="0"/>
    <n v="1764.7286000000001"/>
    <n v="0"/>
    <n v="1764.7286000000001"/>
  </r>
  <r>
    <x v="92"/>
    <x v="4"/>
    <d v="2023-05-25T00:00:00"/>
    <d v="2023-06-24T00:00:00"/>
    <n v="4091.87"/>
    <x v="4"/>
    <x v="0"/>
    <s v="Pending"/>
    <x v="62"/>
    <x v="0"/>
    <x v="0"/>
    <n v="5933.2114999999994"/>
    <n v="0"/>
    <n v="5933.2114999999994"/>
  </r>
  <r>
    <x v="93"/>
    <x v="3"/>
    <d v="2023-10-28T00:00:00"/>
    <d v="2023-11-27T00:00:00"/>
    <n v="1321.04"/>
    <x v="4"/>
    <x v="0"/>
    <s v="Pending"/>
    <x v="63"/>
    <x v="0"/>
    <x v="0"/>
    <n v="1915.5079999999998"/>
    <n v="0"/>
    <n v="1915.5079999999998"/>
  </r>
  <r>
    <x v="94"/>
    <x v="0"/>
    <d v="2023-06-11T00:00:00"/>
    <d v="2023-07-11T00:00:00"/>
    <n v="4205.21"/>
    <x v="4"/>
    <x v="2"/>
    <d v="2023-07-11T00:00:00"/>
    <x v="7"/>
    <x v="1"/>
    <x v="0"/>
    <n v="6097.5545000000002"/>
    <n v="6097.5545000000002"/>
    <n v="0"/>
  </r>
  <r>
    <x v="95"/>
    <x v="1"/>
    <d v="2024-05-14T00:00:00"/>
    <d v="2024-06-13T00:00:00"/>
    <n v="4804.12"/>
    <x v="1"/>
    <x v="0"/>
    <s v="Pending"/>
    <x v="64"/>
    <x v="0"/>
    <x v="0"/>
    <n v="6629.6855999999989"/>
    <n v="0"/>
    <n v="6629.6855999999989"/>
  </r>
  <r>
    <x v="96"/>
    <x v="1"/>
    <d v="2024-05-30T00:00:00"/>
    <d v="2024-06-29T00:00:00"/>
    <n v="2179.34"/>
    <x v="3"/>
    <x v="2"/>
    <d v="2024-06-29T00:00:00"/>
    <x v="7"/>
    <x v="1"/>
    <x v="0"/>
    <n v="2179.34"/>
    <n v="2179.34"/>
    <n v="0"/>
  </r>
  <r>
    <x v="97"/>
    <x v="2"/>
    <d v="2024-02-28T00:00:00"/>
    <d v="2024-03-29T00:00:00"/>
    <n v="2918.59"/>
    <x v="1"/>
    <x v="0"/>
    <s v="Pending"/>
    <x v="65"/>
    <x v="0"/>
    <x v="0"/>
    <n v="4027.6541999999999"/>
    <n v="0"/>
    <n v="4027.6541999999999"/>
  </r>
  <r>
    <x v="98"/>
    <x v="3"/>
    <d v="2024-10-03T00:00:00"/>
    <d v="2024-11-02T00:00:00"/>
    <n v="4508.92"/>
    <x v="1"/>
    <x v="2"/>
    <d v="2024-11-02T00:00:00"/>
    <x v="7"/>
    <x v="1"/>
    <x v="0"/>
    <n v="6222.3095999999996"/>
    <n v="6222.3095999999996"/>
    <n v="0"/>
  </r>
  <r>
    <x v="99"/>
    <x v="0"/>
    <d v="2023-07-27T00:00:00"/>
    <d v="2023-08-26T00:00:00"/>
    <n v="3543.69"/>
    <x v="0"/>
    <x v="1"/>
    <s v="Pending"/>
    <x v="66"/>
    <x v="0"/>
    <x v="0"/>
    <n v="3047.5734000000002"/>
    <n v="1523.7867000000001"/>
    <n v="1523.7867000000001"/>
  </r>
  <r>
    <x v="100"/>
    <x v="3"/>
    <d v="2024-09-19T00:00:00"/>
    <d v="2024-10-19T00:00:00"/>
    <n v="3606.75"/>
    <x v="4"/>
    <x v="0"/>
    <s v="Pending"/>
    <x v="67"/>
    <x v="0"/>
    <x v="0"/>
    <n v="5229.7874999999995"/>
    <n v="0"/>
    <n v="5229.7874999999995"/>
  </r>
  <r>
    <x v="101"/>
    <x v="3"/>
    <d v="2025-06-30T00:00:00"/>
    <d v="2025-07-30T00:00:00"/>
    <n v="3518.19"/>
    <x v="3"/>
    <x v="1"/>
    <s v="Pending"/>
    <x v="68"/>
    <x v="2"/>
    <x v="0"/>
    <n v="3518.19"/>
    <n v="1759.095"/>
    <n v="1759.095"/>
  </r>
  <r>
    <x v="102"/>
    <x v="1"/>
    <d v="2024-12-27T00:00:00"/>
    <d v="2025-01-26T00:00:00"/>
    <n v="4853.53"/>
    <x v="1"/>
    <x v="0"/>
    <s v="Pending"/>
    <x v="18"/>
    <x v="0"/>
    <x v="0"/>
    <n v="6697.8713999999991"/>
    <n v="0"/>
    <n v="6697.8713999999991"/>
  </r>
  <r>
    <x v="103"/>
    <x v="0"/>
    <d v="2024-08-29T00:00:00"/>
    <d v="2024-09-28T00:00:00"/>
    <n v="4099.79"/>
    <x v="0"/>
    <x v="1"/>
    <s v="Pending"/>
    <x v="69"/>
    <x v="0"/>
    <x v="0"/>
    <n v="3525.8193999999999"/>
    <n v="1762.9096999999999"/>
    <n v="1762.9096999999999"/>
  </r>
  <r>
    <x v="104"/>
    <x v="0"/>
    <d v="2023-02-01T00:00:00"/>
    <d v="2023-03-03T00:00:00"/>
    <n v="3167.66"/>
    <x v="1"/>
    <x v="2"/>
    <d v="2023-03-03T00:00:00"/>
    <x v="7"/>
    <x v="1"/>
    <x v="0"/>
    <n v="4371.3707999999997"/>
    <n v="4371.3707999999997"/>
    <n v="0"/>
  </r>
  <r>
    <x v="105"/>
    <x v="3"/>
    <d v="2023-04-08T00:00:00"/>
    <d v="2023-05-08T00:00:00"/>
    <n v="4646.9799999999996"/>
    <x v="0"/>
    <x v="1"/>
    <s v="Pending"/>
    <x v="70"/>
    <x v="0"/>
    <x v="0"/>
    <n v="3996.4027999999994"/>
    <n v="1998.2013999999997"/>
    <n v="1998.2013999999997"/>
  </r>
  <r>
    <x v="106"/>
    <x v="4"/>
    <d v="2024-09-17T00:00:00"/>
    <d v="2024-10-17T00:00:00"/>
    <n v="4202.6099999999997"/>
    <x v="2"/>
    <x v="0"/>
    <s v="Pending"/>
    <x v="71"/>
    <x v="0"/>
    <x v="0"/>
    <n v="3151.9574999999995"/>
    <n v="0"/>
    <n v="3151.9574999999995"/>
  </r>
  <r>
    <x v="107"/>
    <x v="4"/>
    <d v="2023-11-20T00:00:00"/>
    <d v="2023-12-20T00:00:00"/>
    <n v="1491.57"/>
    <x v="0"/>
    <x v="2"/>
    <d v="2023-12-20T00:00:00"/>
    <x v="7"/>
    <x v="1"/>
    <x v="0"/>
    <n v="1282.7501999999999"/>
    <n v="1282.7501999999999"/>
    <n v="0"/>
  </r>
  <r>
    <x v="108"/>
    <x v="0"/>
    <d v="2024-02-17T00:00:00"/>
    <d v="2024-03-18T00:00:00"/>
    <n v="2302.71"/>
    <x v="3"/>
    <x v="2"/>
    <d v="2024-03-18T00:00:00"/>
    <x v="7"/>
    <x v="1"/>
    <x v="0"/>
    <n v="2302.71"/>
    <n v="2302.71"/>
    <n v="0"/>
  </r>
  <r>
    <x v="109"/>
    <x v="3"/>
    <d v="2025-05-10T00:00:00"/>
    <d v="2025-06-09T00:00:00"/>
    <n v="222.31"/>
    <x v="0"/>
    <x v="1"/>
    <s v="Pending"/>
    <x v="72"/>
    <x v="2"/>
    <x v="0"/>
    <n v="191.1866"/>
    <n v="95.593299999999999"/>
    <n v="95.593299999999999"/>
  </r>
  <r>
    <x v="110"/>
    <x v="3"/>
    <d v="2024-11-25T00:00:00"/>
    <d v="2024-12-25T00:00:00"/>
    <n v="1191.67"/>
    <x v="2"/>
    <x v="0"/>
    <s v="Pending"/>
    <x v="73"/>
    <x v="0"/>
    <x v="0"/>
    <n v="893.75250000000005"/>
    <n v="0"/>
    <n v="893.75250000000005"/>
  </r>
  <r>
    <x v="111"/>
    <x v="3"/>
    <d v="2023-12-13T00:00:00"/>
    <d v="2024-01-12T00:00:00"/>
    <n v="3805.91"/>
    <x v="1"/>
    <x v="2"/>
    <d v="2024-01-12T00:00:00"/>
    <x v="7"/>
    <x v="1"/>
    <x v="0"/>
    <n v="5252.1557999999995"/>
    <n v="5252.1557999999995"/>
    <n v="0"/>
  </r>
  <r>
    <x v="112"/>
    <x v="4"/>
    <d v="2023-04-12T00:00:00"/>
    <d v="2023-05-12T00:00:00"/>
    <n v="945.2"/>
    <x v="3"/>
    <x v="1"/>
    <s v="Pending"/>
    <x v="74"/>
    <x v="0"/>
    <x v="0"/>
    <n v="945.2"/>
    <n v="472.6"/>
    <n v="472.6"/>
  </r>
  <r>
    <x v="113"/>
    <x v="3"/>
    <d v="2024-01-20T00:00:00"/>
    <d v="2024-02-19T00:00:00"/>
    <n v="2517.4699999999998"/>
    <x v="1"/>
    <x v="1"/>
    <s v="Pending"/>
    <x v="75"/>
    <x v="0"/>
    <x v="0"/>
    <n v="3474.1085999999996"/>
    <n v="1737.0542999999998"/>
    <n v="1737.0542999999998"/>
  </r>
  <r>
    <x v="114"/>
    <x v="4"/>
    <d v="2024-11-29T00:00:00"/>
    <d v="2024-12-29T00:00:00"/>
    <n v="4131.71"/>
    <x v="3"/>
    <x v="1"/>
    <s v="Pending"/>
    <x v="76"/>
    <x v="0"/>
    <x v="0"/>
    <n v="4131.71"/>
    <n v="2065.855"/>
    <n v="2065.855"/>
  </r>
  <r>
    <x v="115"/>
    <x v="4"/>
    <d v="2024-03-19T00:00:00"/>
    <d v="2024-04-18T00:00:00"/>
    <n v="1116.42"/>
    <x v="1"/>
    <x v="0"/>
    <s v="Pending"/>
    <x v="77"/>
    <x v="0"/>
    <x v="0"/>
    <n v="1540.6596"/>
    <n v="0"/>
    <n v="1540.6596"/>
  </r>
  <r>
    <x v="116"/>
    <x v="4"/>
    <d v="2023-09-24T00:00:00"/>
    <d v="2023-10-24T00:00:00"/>
    <n v="4575.2700000000004"/>
    <x v="1"/>
    <x v="0"/>
    <s v="Pending"/>
    <x v="78"/>
    <x v="0"/>
    <x v="0"/>
    <n v="6313.8725999999997"/>
    <n v="0"/>
    <n v="6313.8725999999997"/>
  </r>
  <r>
    <x v="117"/>
    <x v="4"/>
    <d v="2023-02-16T00:00:00"/>
    <d v="2023-03-18T00:00:00"/>
    <n v="1514.17"/>
    <x v="1"/>
    <x v="0"/>
    <s v="Pending"/>
    <x v="79"/>
    <x v="0"/>
    <x v="0"/>
    <n v="2089.5545999999999"/>
    <n v="0"/>
    <n v="2089.5545999999999"/>
  </r>
  <r>
    <x v="118"/>
    <x v="0"/>
    <d v="2023-08-14T00:00:00"/>
    <d v="2023-09-13T00:00:00"/>
    <n v="4267.03"/>
    <x v="1"/>
    <x v="0"/>
    <s v="Pending"/>
    <x v="80"/>
    <x v="0"/>
    <x v="0"/>
    <n v="5888.5013999999992"/>
    <n v="0"/>
    <n v="5888.5013999999992"/>
  </r>
  <r>
    <x v="119"/>
    <x v="1"/>
    <d v="2025-01-28T00:00:00"/>
    <d v="2025-02-27T00:00:00"/>
    <n v="4482.04"/>
    <x v="2"/>
    <x v="1"/>
    <s v="Pending"/>
    <x v="81"/>
    <x v="0"/>
    <x v="0"/>
    <n v="3361.5299999999997"/>
    <n v="1680.7649999999999"/>
    <n v="1680.7649999999999"/>
  </r>
  <r>
    <x v="120"/>
    <x v="4"/>
    <d v="2024-04-30T00:00:00"/>
    <d v="2024-05-30T00:00:00"/>
    <n v="1407.76"/>
    <x v="2"/>
    <x v="2"/>
    <d v="2024-05-30T00:00:00"/>
    <x v="7"/>
    <x v="1"/>
    <x v="0"/>
    <n v="1055.82"/>
    <n v="1055.82"/>
    <n v="0"/>
  </r>
  <r>
    <x v="121"/>
    <x v="2"/>
    <d v="2023-11-23T00:00:00"/>
    <d v="2023-12-23T00:00:00"/>
    <n v="2739.91"/>
    <x v="0"/>
    <x v="0"/>
    <s v="Pending"/>
    <x v="82"/>
    <x v="0"/>
    <x v="0"/>
    <n v="2356.3226"/>
    <n v="0"/>
    <n v="2356.3226"/>
  </r>
  <r>
    <x v="122"/>
    <x v="0"/>
    <d v="2025-03-13T00:00:00"/>
    <d v="2025-04-12T00:00:00"/>
    <n v="2094.14"/>
    <x v="2"/>
    <x v="1"/>
    <s v="Pending"/>
    <x v="83"/>
    <x v="2"/>
    <x v="0"/>
    <n v="1570.605"/>
    <n v="785.30250000000001"/>
    <n v="785.30250000000001"/>
  </r>
  <r>
    <x v="123"/>
    <x v="4"/>
    <d v="2024-12-21T00:00:00"/>
    <d v="2025-01-20T00:00:00"/>
    <n v="1636.17"/>
    <x v="2"/>
    <x v="0"/>
    <s v="Pending"/>
    <x v="84"/>
    <x v="0"/>
    <x v="0"/>
    <n v="1227.1275000000001"/>
    <n v="0"/>
    <n v="1227.1275000000001"/>
  </r>
  <r>
    <x v="124"/>
    <x v="1"/>
    <d v="2023-10-05T00:00:00"/>
    <d v="2023-11-04T00:00:00"/>
    <n v="1052.47"/>
    <x v="4"/>
    <x v="1"/>
    <s v="Pending"/>
    <x v="85"/>
    <x v="0"/>
    <x v="0"/>
    <n v="1526.0815"/>
    <n v="763.04075"/>
    <n v="763.04075"/>
  </r>
  <r>
    <x v="125"/>
    <x v="1"/>
    <d v="2023-09-17T00:00:00"/>
    <d v="2023-10-17T00:00:00"/>
    <n v="4195.09"/>
    <x v="4"/>
    <x v="0"/>
    <s v="Pending"/>
    <x v="86"/>
    <x v="0"/>
    <x v="0"/>
    <n v="6082.8805000000002"/>
    <n v="0"/>
    <n v="6082.8805000000002"/>
  </r>
  <r>
    <x v="126"/>
    <x v="2"/>
    <d v="2023-01-14T00:00:00"/>
    <d v="2023-02-13T00:00:00"/>
    <n v="2545.81"/>
    <x v="3"/>
    <x v="1"/>
    <s v="Pending"/>
    <x v="87"/>
    <x v="0"/>
    <x v="0"/>
    <n v="2545.81"/>
    <n v="1272.905"/>
    <n v="1272.905"/>
  </r>
  <r>
    <x v="127"/>
    <x v="3"/>
    <d v="2024-04-14T00:00:00"/>
    <d v="2024-05-14T00:00:00"/>
    <n v="993.34"/>
    <x v="4"/>
    <x v="1"/>
    <s v="Pending"/>
    <x v="88"/>
    <x v="0"/>
    <x v="0"/>
    <n v="1440.3430000000001"/>
    <n v="720.17150000000004"/>
    <n v="720.17150000000004"/>
  </r>
  <r>
    <x v="128"/>
    <x v="3"/>
    <d v="2023-06-14T00:00:00"/>
    <d v="2023-07-14T00:00:00"/>
    <n v="834.51"/>
    <x v="2"/>
    <x v="1"/>
    <s v="Pending"/>
    <x v="89"/>
    <x v="0"/>
    <x v="0"/>
    <n v="625.88249999999994"/>
    <n v="312.94124999999997"/>
    <n v="312.94124999999997"/>
  </r>
  <r>
    <x v="129"/>
    <x v="3"/>
    <d v="2023-12-26T00:00:00"/>
    <d v="2024-01-25T00:00:00"/>
    <n v="2107.58"/>
    <x v="3"/>
    <x v="1"/>
    <s v="Pending"/>
    <x v="90"/>
    <x v="0"/>
    <x v="0"/>
    <n v="2107.58"/>
    <n v="1053.79"/>
    <n v="1053.79"/>
  </r>
  <r>
    <x v="130"/>
    <x v="4"/>
    <d v="2025-05-05T00:00:00"/>
    <d v="2025-06-04T00:00:00"/>
    <n v="1874.69"/>
    <x v="3"/>
    <x v="0"/>
    <s v="Pending"/>
    <x v="91"/>
    <x v="2"/>
    <x v="0"/>
    <n v="1874.69"/>
    <n v="0"/>
    <n v="1874.69"/>
  </r>
  <r>
    <x v="131"/>
    <x v="3"/>
    <d v="2024-06-28T00:00:00"/>
    <d v="2024-07-28T00:00:00"/>
    <n v="4388.51"/>
    <x v="0"/>
    <x v="2"/>
    <d v="2024-07-28T00:00:00"/>
    <x v="7"/>
    <x v="1"/>
    <x v="0"/>
    <n v="3774.1186000000002"/>
    <n v="3774.1186000000002"/>
    <n v="0"/>
  </r>
  <r>
    <x v="132"/>
    <x v="1"/>
    <d v="2024-03-14T00:00:00"/>
    <d v="2024-04-13T00:00:00"/>
    <n v="125.24"/>
    <x v="1"/>
    <x v="1"/>
    <s v="Pending"/>
    <x v="92"/>
    <x v="0"/>
    <x v="0"/>
    <n v="172.83119999999997"/>
    <n v="86.415599999999984"/>
    <n v="86.415599999999984"/>
  </r>
  <r>
    <x v="133"/>
    <x v="2"/>
    <d v="2024-04-10T00:00:00"/>
    <d v="2024-05-10T00:00:00"/>
    <n v="1249.8900000000001"/>
    <x v="4"/>
    <x v="0"/>
    <s v="Pending"/>
    <x v="93"/>
    <x v="0"/>
    <x v="0"/>
    <n v="1812.3405"/>
    <n v="0"/>
    <n v="1812.3405"/>
  </r>
  <r>
    <x v="134"/>
    <x v="2"/>
    <d v="2024-12-05T00:00:00"/>
    <d v="2025-01-04T00:00:00"/>
    <n v="4937.78"/>
    <x v="0"/>
    <x v="0"/>
    <s v="Pending"/>
    <x v="94"/>
    <x v="0"/>
    <x v="0"/>
    <n v="4246.4907999999996"/>
    <n v="0"/>
    <n v="4246.4907999999996"/>
  </r>
  <r>
    <x v="135"/>
    <x v="0"/>
    <d v="2024-03-30T00:00:00"/>
    <d v="2024-04-29T00:00:00"/>
    <n v="2379.1799999999998"/>
    <x v="4"/>
    <x v="2"/>
    <d v="2024-04-29T00:00:00"/>
    <x v="7"/>
    <x v="1"/>
    <x v="0"/>
    <n v="3449.8109999999997"/>
    <n v="3449.8109999999997"/>
    <n v="0"/>
  </r>
  <r>
    <x v="136"/>
    <x v="0"/>
    <d v="2023-12-05T00:00:00"/>
    <d v="2024-01-04T00:00:00"/>
    <n v="4032.55"/>
    <x v="1"/>
    <x v="2"/>
    <d v="2024-01-04T00:00:00"/>
    <x v="7"/>
    <x v="1"/>
    <x v="0"/>
    <n v="5564.9189999999999"/>
    <n v="5564.9189999999999"/>
    <n v="0"/>
  </r>
  <r>
    <x v="137"/>
    <x v="4"/>
    <d v="2024-07-21T00:00:00"/>
    <d v="2024-08-20T00:00:00"/>
    <n v="3922.59"/>
    <x v="4"/>
    <x v="2"/>
    <d v="2024-08-20T00:00:00"/>
    <x v="7"/>
    <x v="1"/>
    <x v="0"/>
    <n v="5687.7555000000002"/>
    <n v="5687.7555000000002"/>
    <n v="0"/>
  </r>
  <r>
    <x v="138"/>
    <x v="4"/>
    <d v="2023-09-05T00:00:00"/>
    <d v="2023-10-05T00:00:00"/>
    <n v="3377.42"/>
    <x v="2"/>
    <x v="2"/>
    <d v="2023-10-05T00:00:00"/>
    <x v="7"/>
    <x v="1"/>
    <x v="0"/>
    <n v="2533.0650000000001"/>
    <n v="2533.0650000000001"/>
    <n v="0"/>
  </r>
  <r>
    <x v="139"/>
    <x v="3"/>
    <d v="2024-12-12T00:00:00"/>
    <d v="2025-01-11T00:00:00"/>
    <n v="3927.21"/>
    <x v="0"/>
    <x v="1"/>
    <s v="Pending"/>
    <x v="95"/>
    <x v="0"/>
    <x v="0"/>
    <n v="3377.4005999999999"/>
    <n v="1688.7003"/>
    <n v="1688.7003"/>
  </r>
  <r>
    <x v="140"/>
    <x v="3"/>
    <d v="2024-04-18T00:00:00"/>
    <d v="2024-05-18T00:00:00"/>
    <n v="4292.3500000000004"/>
    <x v="1"/>
    <x v="0"/>
    <s v="Pending"/>
    <x v="96"/>
    <x v="0"/>
    <x v="0"/>
    <n v="5923.4430000000002"/>
    <n v="0"/>
    <n v="5923.4430000000002"/>
  </r>
  <r>
    <x v="141"/>
    <x v="1"/>
    <d v="2025-06-19T00:00:00"/>
    <d v="2025-07-19T00:00:00"/>
    <n v="3350.66"/>
    <x v="3"/>
    <x v="1"/>
    <s v="Pending"/>
    <x v="97"/>
    <x v="2"/>
    <x v="0"/>
    <n v="3350.66"/>
    <n v="1675.33"/>
    <n v="1675.33"/>
  </r>
  <r>
    <x v="142"/>
    <x v="4"/>
    <d v="2023-05-28T00:00:00"/>
    <d v="2023-06-27T00:00:00"/>
    <n v="4762.47"/>
    <x v="3"/>
    <x v="1"/>
    <s v="Pending"/>
    <x v="98"/>
    <x v="0"/>
    <x v="0"/>
    <n v="4762.47"/>
    <n v="2381.2350000000001"/>
    <n v="2381.2350000000001"/>
  </r>
  <r>
    <x v="143"/>
    <x v="4"/>
    <d v="2023-08-01T00:00:00"/>
    <d v="2023-08-31T00:00:00"/>
    <n v="1589.97"/>
    <x v="4"/>
    <x v="0"/>
    <s v="Pending"/>
    <x v="99"/>
    <x v="0"/>
    <x v="0"/>
    <n v="2305.4564999999998"/>
    <n v="0"/>
    <n v="2305.4564999999998"/>
  </r>
  <r>
    <x v="144"/>
    <x v="2"/>
    <d v="2024-06-24T00:00:00"/>
    <d v="2024-07-24T00:00:00"/>
    <n v="2206.4"/>
    <x v="2"/>
    <x v="1"/>
    <s v="Pending"/>
    <x v="100"/>
    <x v="0"/>
    <x v="0"/>
    <n v="1654.8000000000002"/>
    <n v="827.40000000000009"/>
    <n v="827.40000000000009"/>
  </r>
  <r>
    <x v="145"/>
    <x v="3"/>
    <d v="2023-11-28T00:00:00"/>
    <d v="2023-12-28T00:00:00"/>
    <n v="2642.46"/>
    <x v="2"/>
    <x v="2"/>
    <d v="2023-12-28T00:00:00"/>
    <x v="7"/>
    <x v="1"/>
    <x v="0"/>
    <n v="1981.845"/>
    <n v="1981.845"/>
    <n v="0"/>
  </r>
  <r>
    <x v="146"/>
    <x v="4"/>
    <d v="2024-04-10T00:00:00"/>
    <d v="2024-05-10T00:00:00"/>
    <n v="2413.9"/>
    <x v="1"/>
    <x v="1"/>
    <s v="Pending"/>
    <x v="93"/>
    <x v="0"/>
    <x v="0"/>
    <n v="3331.1819999999998"/>
    <n v="1665.5909999999999"/>
    <n v="1665.5909999999999"/>
  </r>
  <r>
    <x v="147"/>
    <x v="3"/>
    <d v="2023-08-16T00:00:00"/>
    <d v="2023-09-15T00:00:00"/>
    <n v="2803.47"/>
    <x v="3"/>
    <x v="1"/>
    <s v="Pending"/>
    <x v="101"/>
    <x v="0"/>
    <x v="0"/>
    <n v="2803.47"/>
    <n v="1401.7349999999999"/>
    <n v="1401.7349999999999"/>
  </r>
  <r>
    <x v="148"/>
    <x v="1"/>
    <d v="2023-09-30T00:00:00"/>
    <d v="2023-10-30T00:00:00"/>
    <n v="3709.9"/>
    <x v="0"/>
    <x v="1"/>
    <s v="Pending"/>
    <x v="20"/>
    <x v="0"/>
    <x v="0"/>
    <n v="3190.5140000000001"/>
    <n v="1595.2570000000001"/>
    <n v="1595.2570000000001"/>
  </r>
  <r>
    <x v="149"/>
    <x v="2"/>
    <d v="2024-06-13T00:00:00"/>
    <d v="2024-07-13T00:00:00"/>
    <n v="4721.1499999999996"/>
    <x v="4"/>
    <x v="2"/>
    <d v="2024-07-13T00:00:00"/>
    <x v="7"/>
    <x v="1"/>
    <x v="0"/>
    <n v="6845.6674999999996"/>
    <n v="6845.6674999999996"/>
    <n v="0"/>
  </r>
  <r>
    <x v="150"/>
    <x v="4"/>
    <d v="2023-08-06T00:00:00"/>
    <d v="2023-09-05T00:00:00"/>
    <n v="1555.44"/>
    <x v="3"/>
    <x v="1"/>
    <s v="Pending"/>
    <x v="102"/>
    <x v="0"/>
    <x v="0"/>
    <n v="1555.44"/>
    <n v="777.72"/>
    <n v="777.72"/>
  </r>
  <r>
    <x v="151"/>
    <x v="2"/>
    <d v="2024-04-08T00:00:00"/>
    <d v="2024-05-08T00:00:00"/>
    <n v="2731.15"/>
    <x v="3"/>
    <x v="2"/>
    <d v="2024-05-08T00:00:00"/>
    <x v="7"/>
    <x v="1"/>
    <x v="0"/>
    <n v="2731.15"/>
    <n v="2731.15"/>
    <n v="0"/>
  </r>
  <r>
    <x v="152"/>
    <x v="0"/>
    <d v="2024-11-26T00:00:00"/>
    <d v="2024-12-26T00:00:00"/>
    <n v="3600.41"/>
    <x v="1"/>
    <x v="1"/>
    <s v="Pending"/>
    <x v="103"/>
    <x v="0"/>
    <x v="0"/>
    <n v="4968.5657999999994"/>
    <n v="2484.2828999999997"/>
    <n v="2484.2828999999997"/>
  </r>
  <r>
    <x v="153"/>
    <x v="0"/>
    <d v="2023-03-05T00:00:00"/>
    <d v="2023-04-04T00:00:00"/>
    <n v="1532.1"/>
    <x v="0"/>
    <x v="2"/>
    <d v="2023-04-04T00:00:00"/>
    <x v="7"/>
    <x v="1"/>
    <x v="0"/>
    <n v="1317.606"/>
    <n v="1317.606"/>
    <n v="0"/>
  </r>
  <r>
    <x v="154"/>
    <x v="1"/>
    <d v="2024-07-02T00:00:00"/>
    <d v="2024-08-01T00:00:00"/>
    <n v="3671.9"/>
    <x v="3"/>
    <x v="0"/>
    <s v="Pending"/>
    <x v="104"/>
    <x v="0"/>
    <x v="0"/>
    <n v="3671.9"/>
    <n v="0"/>
    <n v="3671.9"/>
  </r>
  <r>
    <x v="155"/>
    <x v="2"/>
    <d v="2024-02-23T00:00:00"/>
    <d v="2024-03-24T00:00:00"/>
    <n v="249.12"/>
    <x v="3"/>
    <x v="0"/>
    <s v="Pending"/>
    <x v="105"/>
    <x v="0"/>
    <x v="0"/>
    <n v="249.12"/>
    <n v="0"/>
    <n v="249.12"/>
  </r>
  <r>
    <x v="156"/>
    <x v="3"/>
    <d v="2024-10-02T00:00:00"/>
    <d v="2024-11-01T00:00:00"/>
    <n v="1247.49"/>
    <x v="0"/>
    <x v="1"/>
    <s v="Pending"/>
    <x v="106"/>
    <x v="0"/>
    <x v="0"/>
    <n v="1072.8414"/>
    <n v="536.42070000000001"/>
    <n v="536.42070000000001"/>
  </r>
  <r>
    <x v="157"/>
    <x v="3"/>
    <d v="2023-06-04T00:00:00"/>
    <d v="2023-07-04T00:00:00"/>
    <n v="4374.63"/>
    <x v="3"/>
    <x v="1"/>
    <s v="Pending"/>
    <x v="107"/>
    <x v="0"/>
    <x v="0"/>
    <n v="4374.63"/>
    <n v="2187.3150000000001"/>
    <n v="2187.3150000000001"/>
  </r>
  <r>
    <x v="158"/>
    <x v="3"/>
    <d v="2023-04-28T00:00:00"/>
    <d v="2023-05-28T00:00:00"/>
    <n v="3691.12"/>
    <x v="0"/>
    <x v="1"/>
    <s v="Pending"/>
    <x v="108"/>
    <x v="0"/>
    <x v="0"/>
    <n v="3174.3631999999998"/>
    <n v="1587.1815999999999"/>
    <n v="1587.1815999999999"/>
  </r>
  <r>
    <x v="159"/>
    <x v="3"/>
    <d v="2024-05-31T00:00:00"/>
    <d v="2024-06-30T00:00:00"/>
    <n v="4217.3900000000003"/>
    <x v="4"/>
    <x v="2"/>
    <d v="2024-06-30T00:00:00"/>
    <x v="7"/>
    <x v="1"/>
    <x v="0"/>
    <n v="6115.2155000000002"/>
    <n v="6115.2155000000002"/>
    <n v="0"/>
  </r>
  <r>
    <x v="160"/>
    <x v="1"/>
    <d v="2023-10-05T00:00:00"/>
    <d v="2023-11-04T00:00:00"/>
    <n v="4642.3599999999997"/>
    <x v="1"/>
    <x v="0"/>
    <s v="Pending"/>
    <x v="85"/>
    <x v="0"/>
    <x v="0"/>
    <n v="6406.456799999999"/>
    <n v="0"/>
    <n v="6406.456799999999"/>
  </r>
  <r>
    <x v="161"/>
    <x v="0"/>
    <d v="2025-03-18T00:00:00"/>
    <d v="2025-04-17T00:00:00"/>
    <n v="3580.35"/>
    <x v="4"/>
    <x v="1"/>
    <s v="Pending"/>
    <x v="109"/>
    <x v="2"/>
    <x v="0"/>
    <n v="5191.5074999999997"/>
    <n v="2595.7537499999999"/>
    <n v="2595.7537499999999"/>
  </r>
  <r>
    <x v="162"/>
    <x v="4"/>
    <d v="2024-02-03T00:00:00"/>
    <d v="2024-03-04T00:00:00"/>
    <n v="3588.69"/>
    <x v="4"/>
    <x v="1"/>
    <s v="Pending"/>
    <x v="110"/>
    <x v="0"/>
    <x v="0"/>
    <n v="5203.6004999999996"/>
    <n v="2601.8002499999998"/>
    <n v="2601.8002499999998"/>
  </r>
  <r>
    <x v="163"/>
    <x v="4"/>
    <d v="2024-10-21T00:00:00"/>
    <d v="2024-11-20T00:00:00"/>
    <n v="2407.4"/>
    <x v="1"/>
    <x v="1"/>
    <s v="Pending"/>
    <x v="111"/>
    <x v="0"/>
    <x v="0"/>
    <n v="3322.212"/>
    <n v="1661.106"/>
    <n v="1661.106"/>
  </r>
  <r>
    <x v="164"/>
    <x v="4"/>
    <d v="2023-04-01T00:00:00"/>
    <d v="2023-05-01T00:00:00"/>
    <n v="649.78"/>
    <x v="1"/>
    <x v="1"/>
    <s v="Pending"/>
    <x v="112"/>
    <x v="0"/>
    <x v="0"/>
    <n v="896.69639999999993"/>
    <n v="448.34819999999996"/>
    <n v="448.34819999999996"/>
  </r>
  <r>
    <x v="165"/>
    <x v="2"/>
    <d v="2024-09-14T00:00:00"/>
    <d v="2024-10-14T00:00:00"/>
    <n v="143.83000000000001"/>
    <x v="1"/>
    <x v="2"/>
    <d v="2024-10-14T00:00:00"/>
    <x v="7"/>
    <x v="1"/>
    <x v="0"/>
    <n v="198.4854"/>
    <n v="198.4854"/>
    <n v="0"/>
  </r>
  <r>
    <x v="166"/>
    <x v="3"/>
    <d v="2025-06-05T00:00:00"/>
    <d v="2025-07-05T00:00:00"/>
    <n v="1041.99"/>
    <x v="3"/>
    <x v="0"/>
    <s v="Pending"/>
    <x v="113"/>
    <x v="2"/>
    <x v="0"/>
    <n v="1041.99"/>
    <n v="0"/>
    <n v="1041.99"/>
  </r>
  <r>
    <x v="167"/>
    <x v="0"/>
    <d v="2023-06-11T00:00:00"/>
    <d v="2023-07-11T00:00:00"/>
    <n v="2826"/>
    <x v="1"/>
    <x v="0"/>
    <s v="Pending"/>
    <x v="114"/>
    <x v="0"/>
    <x v="0"/>
    <n v="3899.8799999999997"/>
    <n v="0"/>
    <n v="3899.8799999999997"/>
  </r>
  <r>
    <x v="168"/>
    <x v="0"/>
    <d v="2024-12-11T00:00:00"/>
    <d v="2025-01-10T00:00:00"/>
    <n v="3078.5"/>
    <x v="2"/>
    <x v="2"/>
    <d v="2025-01-10T00:00:00"/>
    <x v="7"/>
    <x v="1"/>
    <x v="0"/>
    <n v="2308.875"/>
    <n v="2308.875"/>
    <n v="0"/>
  </r>
  <r>
    <x v="169"/>
    <x v="1"/>
    <d v="2025-04-01T00:00:00"/>
    <d v="2025-05-01T00:00:00"/>
    <n v="3139.88"/>
    <x v="4"/>
    <x v="1"/>
    <s v="Pending"/>
    <x v="115"/>
    <x v="2"/>
    <x v="0"/>
    <n v="4552.826"/>
    <n v="2276.413"/>
    <n v="2276.413"/>
  </r>
  <r>
    <x v="170"/>
    <x v="4"/>
    <d v="2023-04-27T00:00:00"/>
    <d v="2023-05-27T00:00:00"/>
    <n v="4899.6400000000003"/>
    <x v="4"/>
    <x v="2"/>
    <d v="2023-05-27T00:00:00"/>
    <x v="7"/>
    <x v="1"/>
    <x v="0"/>
    <n v="7104.4780000000001"/>
    <n v="7104.4780000000001"/>
    <n v="0"/>
  </r>
  <r>
    <x v="171"/>
    <x v="0"/>
    <d v="2024-12-09T00:00:00"/>
    <d v="2025-01-08T00:00:00"/>
    <n v="3205.33"/>
    <x v="3"/>
    <x v="1"/>
    <s v="Pending"/>
    <x v="116"/>
    <x v="0"/>
    <x v="0"/>
    <n v="3205.33"/>
    <n v="1602.665"/>
    <n v="1602.665"/>
  </r>
  <r>
    <x v="172"/>
    <x v="2"/>
    <d v="2024-11-09T00:00:00"/>
    <d v="2024-12-09T00:00:00"/>
    <n v="1285.77"/>
    <x v="3"/>
    <x v="1"/>
    <s v="Pending"/>
    <x v="117"/>
    <x v="0"/>
    <x v="0"/>
    <n v="1285.77"/>
    <n v="642.88499999999999"/>
    <n v="642.88499999999999"/>
  </r>
  <r>
    <x v="173"/>
    <x v="0"/>
    <d v="2025-06-20T00:00:00"/>
    <d v="2025-07-20T00:00:00"/>
    <n v="216.78"/>
    <x v="3"/>
    <x v="1"/>
    <s v="Pending"/>
    <x v="118"/>
    <x v="2"/>
    <x v="0"/>
    <n v="216.78"/>
    <n v="108.39"/>
    <n v="108.39"/>
  </r>
  <r>
    <x v="174"/>
    <x v="4"/>
    <d v="2023-03-05T00:00:00"/>
    <d v="2023-04-04T00:00:00"/>
    <n v="4512.7700000000004"/>
    <x v="1"/>
    <x v="1"/>
    <s v="Pending"/>
    <x v="119"/>
    <x v="0"/>
    <x v="0"/>
    <n v="6227.6225999999997"/>
    <n v="3113.8112999999998"/>
    <n v="3113.8112999999998"/>
  </r>
  <r>
    <x v="175"/>
    <x v="1"/>
    <d v="2023-11-11T00:00:00"/>
    <d v="2023-12-11T00:00:00"/>
    <n v="4283.63"/>
    <x v="4"/>
    <x v="2"/>
    <d v="2023-12-11T00:00:00"/>
    <x v="7"/>
    <x v="1"/>
    <x v="0"/>
    <n v="6211.2635"/>
    <n v="6211.2635"/>
    <n v="0"/>
  </r>
  <r>
    <x v="176"/>
    <x v="0"/>
    <d v="2024-09-29T00:00:00"/>
    <d v="2024-10-29T00:00:00"/>
    <n v="370.46"/>
    <x v="1"/>
    <x v="2"/>
    <d v="2024-10-29T00:00:00"/>
    <x v="7"/>
    <x v="1"/>
    <x v="0"/>
    <n v="511.23479999999995"/>
    <n v="511.23479999999995"/>
    <n v="0"/>
  </r>
  <r>
    <x v="177"/>
    <x v="3"/>
    <d v="2024-06-10T00:00:00"/>
    <d v="2024-07-10T00:00:00"/>
    <n v="3313.07"/>
    <x v="0"/>
    <x v="0"/>
    <s v="Pending"/>
    <x v="120"/>
    <x v="0"/>
    <x v="0"/>
    <n v="2849.2402000000002"/>
    <n v="0"/>
    <n v="2849.2402000000002"/>
  </r>
  <r>
    <x v="178"/>
    <x v="2"/>
    <d v="2023-11-23T00:00:00"/>
    <d v="2023-12-23T00:00:00"/>
    <n v="4616.42"/>
    <x v="3"/>
    <x v="2"/>
    <d v="2023-12-23T00:00:00"/>
    <x v="7"/>
    <x v="1"/>
    <x v="0"/>
    <n v="4616.42"/>
    <n v="4616.42"/>
    <n v="0"/>
  </r>
  <r>
    <x v="179"/>
    <x v="2"/>
    <d v="2023-03-13T00:00:00"/>
    <d v="2023-04-12T00:00:00"/>
    <n v="1731.08"/>
    <x v="3"/>
    <x v="0"/>
    <s v="Pending"/>
    <x v="121"/>
    <x v="0"/>
    <x v="0"/>
    <n v="1731.08"/>
    <n v="0"/>
    <n v="1731.08"/>
  </r>
  <r>
    <x v="180"/>
    <x v="0"/>
    <d v="2025-02-05T00:00:00"/>
    <d v="2025-03-07T00:00:00"/>
    <n v="4027.83"/>
    <x v="1"/>
    <x v="1"/>
    <s v="Pending"/>
    <x v="122"/>
    <x v="0"/>
    <x v="0"/>
    <n v="5558.4053999999996"/>
    <n v="2779.2026999999998"/>
    <n v="2779.2026999999998"/>
  </r>
  <r>
    <x v="181"/>
    <x v="4"/>
    <d v="2024-07-25T00:00:00"/>
    <d v="2024-08-24T00:00:00"/>
    <n v="1770.47"/>
    <x v="1"/>
    <x v="2"/>
    <d v="2024-08-24T00:00:00"/>
    <x v="7"/>
    <x v="1"/>
    <x v="0"/>
    <n v="2443.2485999999999"/>
    <n v="2443.2485999999999"/>
    <n v="0"/>
  </r>
  <r>
    <x v="182"/>
    <x v="1"/>
    <d v="2024-12-20T00:00:00"/>
    <d v="2025-01-19T00:00:00"/>
    <n v="4140.83"/>
    <x v="0"/>
    <x v="2"/>
    <d v="2025-01-19T00:00:00"/>
    <x v="7"/>
    <x v="1"/>
    <x v="0"/>
    <n v="3561.1138000000001"/>
    <n v="3561.1138000000001"/>
    <n v="0"/>
  </r>
  <r>
    <x v="183"/>
    <x v="2"/>
    <d v="2025-04-16T00:00:00"/>
    <d v="2025-05-16T00:00:00"/>
    <n v="606.74"/>
    <x v="0"/>
    <x v="1"/>
    <s v="Pending"/>
    <x v="123"/>
    <x v="2"/>
    <x v="0"/>
    <n v="521.79639999999995"/>
    <n v="260.89819999999997"/>
    <n v="260.89819999999997"/>
  </r>
  <r>
    <x v="184"/>
    <x v="4"/>
    <d v="2023-02-04T00:00:00"/>
    <d v="2023-03-06T00:00:00"/>
    <n v="3488.56"/>
    <x v="2"/>
    <x v="0"/>
    <s v="Pending"/>
    <x v="124"/>
    <x v="0"/>
    <x v="0"/>
    <n v="2616.42"/>
    <n v="0"/>
    <n v="2616.42"/>
  </r>
  <r>
    <x v="185"/>
    <x v="2"/>
    <d v="2025-06-22T00:00:00"/>
    <d v="2025-07-22T00:00:00"/>
    <n v="816.61"/>
    <x v="1"/>
    <x v="0"/>
    <s v="Pending"/>
    <x v="125"/>
    <x v="2"/>
    <x v="0"/>
    <n v="1126.9217999999998"/>
    <n v="0"/>
    <n v="1126.9217999999998"/>
  </r>
  <r>
    <x v="186"/>
    <x v="0"/>
    <d v="2024-05-02T00:00:00"/>
    <d v="2024-06-01T00:00:00"/>
    <n v="2178.88"/>
    <x v="2"/>
    <x v="2"/>
    <d v="2024-06-01T00:00:00"/>
    <x v="7"/>
    <x v="1"/>
    <x v="0"/>
    <n v="1634.16"/>
    <n v="1634.16"/>
    <n v="0"/>
  </r>
  <r>
    <x v="187"/>
    <x v="1"/>
    <d v="2023-12-19T00:00:00"/>
    <d v="2024-01-18T00:00:00"/>
    <n v="4356.53"/>
    <x v="3"/>
    <x v="1"/>
    <s v="Pending"/>
    <x v="39"/>
    <x v="0"/>
    <x v="0"/>
    <n v="4356.53"/>
    <n v="2178.2649999999999"/>
    <n v="2178.2649999999999"/>
  </r>
  <r>
    <x v="188"/>
    <x v="0"/>
    <d v="2024-04-17T00:00:00"/>
    <d v="2024-05-17T00:00:00"/>
    <n v="2905.63"/>
    <x v="4"/>
    <x v="0"/>
    <s v="Pending"/>
    <x v="126"/>
    <x v="0"/>
    <x v="0"/>
    <n v="4213.1634999999997"/>
    <n v="0"/>
    <n v="4213.1634999999997"/>
  </r>
  <r>
    <x v="189"/>
    <x v="3"/>
    <d v="2024-05-02T00:00:00"/>
    <d v="2024-06-01T00:00:00"/>
    <n v="940.95"/>
    <x v="1"/>
    <x v="2"/>
    <d v="2024-06-01T00:00:00"/>
    <x v="7"/>
    <x v="1"/>
    <x v="0"/>
    <n v="1298.511"/>
    <n v="1298.511"/>
    <n v="0"/>
  </r>
  <r>
    <x v="190"/>
    <x v="2"/>
    <d v="2023-02-17T00:00:00"/>
    <d v="2023-03-19T00:00:00"/>
    <n v="4744.18"/>
    <x v="4"/>
    <x v="1"/>
    <s v="Pending"/>
    <x v="127"/>
    <x v="0"/>
    <x v="0"/>
    <n v="6879.0610000000006"/>
    <n v="3439.5305000000003"/>
    <n v="3439.5305000000003"/>
  </r>
  <r>
    <x v="191"/>
    <x v="3"/>
    <d v="2025-02-22T00:00:00"/>
    <d v="2025-03-24T00:00:00"/>
    <n v="147.49"/>
    <x v="4"/>
    <x v="2"/>
    <d v="2025-03-24T00:00:00"/>
    <x v="7"/>
    <x v="1"/>
    <x v="0"/>
    <n v="213.8605"/>
    <n v="213.8605"/>
    <n v="0"/>
  </r>
  <r>
    <x v="192"/>
    <x v="4"/>
    <d v="2025-06-09T00:00:00"/>
    <d v="2025-07-09T00:00:00"/>
    <n v="495.23"/>
    <x v="1"/>
    <x v="1"/>
    <s v="Pending"/>
    <x v="128"/>
    <x v="2"/>
    <x v="0"/>
    <n v="683.41739999999993"/>
    <n v="341.70869999999996"/>
    <n v="341.70869999999996"/>
  </r>
  <r>
    <x v="193"/>
    <x v="3"/>
    <d v="2023-05-30T00:00:00"/>
    <d v="2023-06-29T00:00:00"/>
    <n v="2497.87"/>
    <x v="2"/>
    <x v="1"/>
    <s v="Pending"/>
    <x v="129"/>
    <x v="0"/>
    <x v="0"/>
    <n v="1873.4024999999999"/>
    <n v="936.70124999999996"/>
    <n v="936.70124999999996"/>
  </r>
  <r>
    <x v="194"/>
    <x v="4"/>
    <d v="2024-06-11T00:00:00"/>
    <d v="2024-07-11T00:00:00"/>
    <n v="1407.52"/>
    <x v="1"/>
    <x v="0"/>
    <s v="Pending"/>
    <x v="130"/>
    <x v="0"/>
    <x v="0"/>
    <n v="1942.3775999999998"/>
    <n v="0"/>
    <n v="1942.3775999999998"/>
  </r>
  <r>
    <x v="195"/>
    <x v="4"/>
    <d v="2025-03-07T00:00:00"/>
    <d v="2025-04-06T00:00:00"/>
    <n v="2632.28"/>
    <x v="4"/>
    <x v="1"/>
    <s v="Pending"/>
    <x v="131"/>
    <x v="2"/>
    <x v="0"/>
    <n v="3816.806"/>
    <n v="1908.403"/>
    <n v="1908.403"/>
  </r>
  <r>
    <x v="196"/>
    <x v="1"/>
    <d v="2024-04-02T00:00:00"/>
    <d v="2024-05-02T00:00:00"/>
    <n v="3255.92"/>
    <x v="2"/>
    <x v="0"/>
    <s v="Pending"/>
    <x v="132"/>
    <x v="0"/>
    <x v="0"/>
    <n v="2441.94"/>
    <n v="0"/>
    <n v="2441.94"/>
  </r>
  <r>
    <x v="197"/>
    <x v="0"/>
    <d v="2023-09-21T00:00:00"/>
    <d v="2023-10-21T00:00:00"/>
    <n v="392.7"/>
    <x v="3"/>
    <x v="2"/>
    <d v="2023-10-21T00:00:00"/>
    <x v="7"/>
    <x v="1"/>
    <x v="0"/>
    <n v="392.7"/>
    <n v="392.7"/>
    <n v="0"/>
  </r>
  <r>
    <x v="198"/>
    <x v="1"/>
    <d v="2024-04-06T00:00:00"/>
    <d v="2024-05-06T00:00:00"/>
    <n v="4366.6499999999996"/>
    <x v="3"/>
    <x v="1"/>
    <s v="Pending"/>
    <x v="133"/>
    <x v="0"/>
    <x v="0"/>
    <n v="4366.6499999999996"/>
    <n v="2183.3249999999998"/>
    <n v="2183.3249999999998"/>
  </r>
  <r>
    <x v="199"/>
    <x v="4"/>
    <d v="2024-03-21T00:00:00"/>
    <d v="2024-04-20T00:00:00"/>
    <n v="1348.94"/>
    <x v="0"/>
    <x v="2"/>
    <d v="2024-04-20T00:00:00"/>
    <x v="7"/>
    <x v="1"/>
    <x v="0"/>
    <n v="1160.0884000000001"/>
    <n v="1160.0884000000001"/>
    <n v="0"/>
  </r>
  <r>
    <x v="200"/>
    <x v="3"/>
    <d v="2025-06-29T00:00:00"/>
    <d v="2025-07-29T00:00:00"/>
    <n v="4373.5200000000004"/>
    <x v="2"/>
    <x v="0"/>
    <s v="Pending"/>
    <x v="134"/>
    <x v="2"/>
    <x v="0"/>
    <n v="3280.1400000000003"/>
    <n v="0"/>
    <n v="3280.1400000000003"/>
  </r>
  <r>
    <x v="201"/>
    <x v="3"/>
    <d v="2023-11-02T00:00:00"/>
    <d v="2023-12-02T00:00:00"/>
    <n v="3414.97"/>
    <x v="3"/>
    <x v="2"/>
    <d v="2023-12-02T00:00:00"/>
    <x v="7"/>
    <x v="1"/>
    <x v="0"/>
    <n v="3414.97"/>
    <n v="3414.97"/>
    <n v="0"/>
  </r>
  <r>
    <x v="202"/>
    <x v="3"/>
    <d v="2025-01-08T00:00:00"/>
    <d v="2025-02-07T00:00:00"/>
    <n v="1646.53"/>
    <x v="1"/>
    <x v="2"/>
    <d v="2025-02-07T00:00:00"/>
    <x v="7"/>
    <x v="1"/>
    <x v="0"/>
    <n v="2272.2113999999997"/>
    <n v="2272.2113999999997"/>
    <n v="0"/>
  </r>
  <r>
    <x v="203"/>
    <x v="1"/>
    <d v="2025-03-11T00:00:00"/>
    <d v="2025-04-10T00:00:00"/>
    <n v="2688.88"/>
    <x v="0"/>
    <x v="0"/>
    <s v="Pending"/>
    <x v="135"/>
    <x v="2"/>
    <x v="0"/>
    <n v="2312.4367999999999"/>
    <n v="0"/>
    <n v="2312.4367999999999"/>
  </r>
  <r>
    <x v="204"/>
    <x v="2"/>
    <d v="2023-01-07T00:00:00"/>
    <d v="2023-02-06T00:00:00"/>
    <n v="2187.09"/>
    <x v="4"/>
    <x v="1"/>
    <s v="Pending"/>
    <x v="136"/>
    <x v="0"/>
    <x v="0"/>
    <n v="3171.2805000000003"/>
    <n v="1585.6402500000002"/>
    <n v="1585.6402500000002"/>
  </r>
  <r>
    <x v="205"/>
    <x v="4"/>
    <d v="2025-05-28T00:00:00"/>
    <d v="2025-06-27T00:00:00"/>
    <n v="3171.13"/>
    <x v="3"/>
    <x v="2"/>
    <d v="2025-06-27T00:00:00"/>
    <x v="7"/>
    <x v="1"/>
    <x v="0"/>
    <n v="3171.13"/>
    <n v="3171.13"/>
    <n v="0"/>
  </r>
  <r>
    <x v="206"/>
    <x v="0"/>
    <d v="2024-05-25T00:00:00"/>
    <d v="2024-06-24T00:00:00"/>
    <n v="2235.4699999999998"/>
    <x v="0"/>
    <x v="2"/>
    <d v="2024-06-24T00:00:00"/>
    <x v="7"/>
    <x v="1"/>
    <x v="0"/>
    <n v="1922.5041999999999"/>
    <n v="1922.5041999999999"/>
    <n v="0"/>
  </r>
  <r>
    <x v="207"/>
    <x v="0"/>
    <d v="2024-06-02T00:00:00"/>
    <d v="2024-07-02T00:00:00"/>
    <n v="4392.95"/>
    <x v="3"/>
    <x v="2"/>
    <d v="2024-07-02T00:00:00"/>
    <x v="7"/>
    <x v="1"/>
    <x v="0"/>
    <n v="4392.95"/>
    <n v="4392.95"/>
    <n v="0"/>
  </r>
  <r>
    <x v="208"/>
    <x v="3"/>
    <d v="2023-10-05T00:00:00"/>
    <d v="2023-11-04T00:00:00"/>
    <n v="765.04"/>
    <x v="0"/>
    <x v="2"/>
    <d v="2023-11-04T00:00:00"/>
    <x v="7"/>
    <x v="1"/>
    <x v="0"/>
    <n v="657.93439999999998"/>
    <n v="657.93439999999998"/>
    <n v="0"/>
  </r>
  <r>
    <x v="209"/>
    <x v="0"/>
    <d v="2024-04-10T00:00:00"/>
    <d v="2024-05-10T00:00:00"/>
    <n v="4435.17"/>
    <x v="3"/>
    <x v="0"/>
    <s v="Pending"/>
    <x v="93"/>
    <x v="0"/>
    <x v="0"/>
    <n v="4435.17"/>
    <n v="0"/>
    <n v="4435.17"/>
  </r>
  <r>
    <x v="210"/>
    <x v="0"/>
    <d v="2023-01-22T00:00:00"/>
    <d v="2023-02-21T00:00:00"/>
    <n v="2626.85"/>
    <x v="1"/>
    <x v="0"/>
    <s v="Pending"/>
    <x v="137"/>
    <x v="0"/>
    <x v="0"/>
    <n v="3625.0529999999994"/>
    <n v="0"/>
    <n v="3625.0529999999994"/>
  </r>
  <r>
    <x v="211"/>
    <x v="0"/>
    <d v="2024-06-17T00:00:00"/>
    <d v="2024-07-17T00:00:00"/>
    <n v="4803.24"/>
    <x v="3"/>
    <x v="1"/>
    <s v="Pending"/>
    <x v="138"/>
    <x v="0"/>
    <x v="0"/>
    <n v="4803.24"/>
    <n v="2401.62"/>
    <n v="2401.62"/>
  </r>
  <r>
    <x v="212"/>
    <x v="1"/>
    <d v="2024-07-23T00:00:00"/>
    <d v="2024-08-22T00:00:00"/>
    <n v="3007.22"/>
    <x v="3"/>
    <x v="2"/>
    <d v="2024-08-22T00:00:00"/>
    <x v="7"/>
    <x v="1"/>
    <x v="0"/>
    <n v="3007.22"/>
    <n v="3007.22"/>
    <n v="0"/>
  </r>
  <r>
    <x v="213"/>
    <x v="0"/>
    <d v="2025-02-16T00:00:00"/>
    <d v="2025-03-18T00:00:00"/>
    <n v="4929.75"/>
    <x v="1"/>
    <x v="0"/>
    <s v="Pending"/>
    <x v="139"/>
    <x v="0"/>
    <x v="0"/>
    <n v="6803.0549999999994"/>
    <n v="0"/>
    <n v="6803.0549999999994"/>
  </r>
  <r>
    <x v="214"/>
    <x v="1"/>
    <d v="2024-06-06T00:00:00"/>
    <d v="2024-07-06T00:00:00"/>
    <n v="1536.2"/>
    <x v="0"/>
    <x v="1"/>
    <s v="Pending"/>
    <x v="140"/>
    <x v="0"/>
    <x v="0"/>
    <n v="1321.1320000000001"/>
    <n v="660.56600000000003"/>
    <n v="660.56600000000003"/>
  </r>
  <r>
    <x v="215"/>
    <x v="1"/>
    <d v="2024-07-18T00:00:00"/>
    <d v="2024-08-17T00:00:00"/>
    <n v="2978.71"/>
    <x v="2"/>
    <x v="1"/>
    <s v="Pending"/>
    <x v="141"/>
    <x v="0"/>
    <x v="0"/>
    <n v="2234.0325000000003"/>
    <n v="1117.0162500000001"/>
    <n v="1117.0162500000001"/>
  </r>
  <r>
    <x v="216"/>
    <x v="3"/>
    <d v="2024-02-04T00:00:00"/>
    <d v="2024-03-05T00:00:00"/>
    <n v="915.17"/>
    <x v="2"/>
    <x v="2"/>
    <d v="2024-03-05T00:00:00"/>
    <x v="7"/>
    <x v="1"/>
    <x v="0"/>
    <n v="686.37749999999994"/>
    <n v="686.37749999999994"/>
    <n v="0"/>
  </r>
  <r>
    <x v="217"/>
    <x v="1"/>
    <d v="2023-07-02T00:00:00"/>
    <d v="2023-08-01T00:00:00"/>
    <n v="3188.52"/>
    <x v="2"/>
    <x v="1"/>
    <s v="Pending"/>
    <x v="142"/>
    <x v="0"/>
    <x v="0"/>
    <n v="2391.39"/>
    <n v="1195.6949999999999"/>
    <n v="1195.6949999999999"/>
  </r>
  <r>
    <x v="218"/>
    <x v="2"/>
    <d v="2024-05-20T00:00:00"/>
    <d v="2024-06-19T00:00:00"/>
    <n v="2307.79"/>
    <x v="3"/>
    <x v="1"/>
    <s v="Pending"/>
    <x v="143"/>
    <x v="0"/>
    <x v="0"/>
    <n v="2307.79"/>
    <n v="1153.895"/>
    <n v="1153.895"/>
  </r>
  <r>
    <x v="219"/>
    <x v="2"/>
    <d v="2023-11-21T00:00:00"/>
    <d v="2023-12-21T00:00:00"/>
    <n v="2903.71"/>
    <x v="0"/>
    <x v="1"/>
    <s v="Pending"/>
    <x v="144"/>
    <x v="0"/>
    <x v="0"/>
    <n v="2497.1905999999999"/>
    <n v="1248.5953"/>
    <n v="1248.5953"/>
  </r>
  <r>
    <x v="220"/>
    <x v="2"/>
    <d v="2024-05-20T00:00:00"/>
    <d v="2024-06-19T00:00:00"/>
    <n v="2565.02"/>
    <x v="3"/>
    <x v="1"/>
    <s v="Pending"/>
    <x v="143"/>
    <x v="0"/>
    <x v="0"/>
    <n v="2565.02"/>
    <n v="1282.51"/>
    <n v="1282.51"/>
  </r>
  <r>
    <x v="221"/>
    <x v="1"/>
    <d v="2025-05-13T00:00:00"/>
    <d v="2025-06-12T00:00:00"/>
    <n v="2121.21"/>
    <x v="3"/>
    <x v="0"/>
    <s v="Pending"/>
    <x v="145"/>
    <x v="2"/>
    <x v="0"/>
    <n v="2121.21"/>
    <n v="0"/>
    <n v="2121.21"/>
  </r>
  <r>
    <x v="222"/>
    <x v="1"/>
    <d v="2025-04-01T00:00:00"/>
    <d v="2025-05-01T00:00:00"/>
    <n v="1273.9000000000001"/>
    <x v="0"/>
    <x v="0"/>
    <s v="Pending"/>
    <x v="115"/>
    <x v="2"/>
    <x v="0"/>
    <n v="1095.5540000000001"/>
    <n v="0"/>
    <n v="1095.5540000000001"/>
  </r>
  <r>
    <x v="223"/>
    <x v="1"/>
    <d v="2025-02-23T00:00:00"/>
    <d v="2025-03-25T00:00:00"/>
    <n v="3975.5"/>
    <x v="4"/>
    <x v="0"/>
    <s v="Pending"/>
    <x v="146"/>
    <x v="2"/>
    <x v="0"/>
    <n v="5764.4749999999995"/>
    <n v="0"/>
    <n v="5764.4749999999995"/>
  </r>
  <r>
    <x v="224"/>
    <x v="0"/>
    <d v="2024-10-23T00:00:00"/>
    <d v="2024-11-22T00:00:00"/>
    <n v="2421.44"/>
    <x v="4"/>
    <x v="0"/>
    <s v="Pending"/>
    <x v="147"/>
    <x v="0"/>
    <x v="0"/>
    <n v="3511.0880000000002"/>
    <n v="0"/>
    <n v="3511.0880000000002"/>
  </r>
  <r>
    <x v="225"/>
    <x v="0"/>
    <d v="2025-01-31T00:00:00"/>
    <d v="2025-03-02T00:00:00"/>
    <n v="2458.0100000000002"/>
    <x v="0"/>
    <x v="0"/>
    <s v="Pending"/>
    <x v="148"/>
    <x v="0"/>
    <x v="0"/>
    <n v="2113.8886000000002"/>
    <n v="0"/>
    <n v="2113.8886000000002"/>
  </r>
  <r>
    <x v="226"/>
    <x v="0"/>
    <d v="2023-07-29T00:00:00"/>
    <d v="2023-08-28T00:00:00"/>
    <n v="2854.39"/>
    <x v="0"/>
    <x v="2"/>
    <d v="2023-08-28T00:00:00"/>
    <x v="7"/>
    <x v="1"/>
    <x v="0"/>
    <n v="2454.7754"/>
    <n v="2454.7754"/>
    <n v="0"/>
  </r>
  <r>
    <x v="227"/>
    <x v="1"/>
    <d v="2024-01-28T00:00:00"/>
    <d v="2024-02-27T00:00:00"/>
    <n v="2918.95"/>
    <x v="0"/>
    <x v="0"/>
    <s v="Pending"/>
    <x v="149"/>
    <x v="0"/>
    <x v="0"/>
    <n v="2510.297"/>
    <n v="0"/>
    <n v="2510.297"/>
  </r>
  <r>
    <x v="228"/>
    <x v="3"/>
    <d v="2023-03-12T00:00:00"/>
    <d v="2023-04-11T00:00:00"/>
    <n v="328.97"/>
    <x v="3"/>
    <x v="2"/>
    <d v="2023-04-11T00:00:00"/>
    <x v="7"/>
    <x v="1"/>
    <x v="0"/>
    <n v="328.97"/>
    <n v="328.97"/>
    <n v="0"/>
  </r>
  <r>
    <x v="229"/>
    <x v="3"/>
    <d v="2024-08-19T00:00:00"/>
    <d v="2024-09-18T00:00:00"/>
    <n v="1213.71"/>
    <x v="3"/>
    <x v="0"/>
    <s v="Pending"/>
    <x v="150"/>
    <x v="0"/>
    <x v="0"/>
    <n v="1213.71"/>
    <n v="0"/>
    <n v="1213.71"/>
  </r>
  <r>
    <x v="230"/>
    <x v="2"/>
    <d v="2025-04-25T00:00:00"/>
    <d v="2025-05-25T00:00:00"/>
    <n v="454.59"/>
    <x v="3"/>
    <x v="0"/>
    <s v="Pending"/>
    <x v="151"/>
    <x v="2"/>
    <x v="0"/>
    <n v="454.59"/>
    <n v="0"/>
    <n v="454.59"/>
  </r>
  <r>
    <x v="231"/>
    <x v="2"/>
    <d v="2023-04-24T00:00:00"/>
    <d v="2023-05-24T00:00:00"/>
    <n v="4278.37"/>
    <x v="1"/>
    <x v="2"/>
    <d v="2023-05-24T00:00:00"/>
    <x v="7"/>
    <x v="1"/>
    <x v="0"/>
    <n v="5904.150599999999"/>
    <n v="5904.150599999999"/>
    <n v="0"/>
  </r>
  <r>
    <x v="232"/>
    <x v="0"/>
    <d v="2024-08-20T00:00:00"/>
    <d v="2024-09-19T00:00:00"/>
    <n v="3048.16"/>
    <x v="3"/>
    <x v="0"/>
    <s v="Pending"/>
    <x v="152"/>
    <x v="0"/>
    <x v="0"/>
    <n v="3048.16"/>
    <n v="0"/>
    <n v="3048.16"/>
  </r>
  <r>
    <x v="233"/>
    <x v="3"/>
    <d v="2023-05-19T00:00:00"/>
    <d v="2023-06-18T00:00:00"/>
    <n v="4611.88"/>
    <x v="4"/>
    <x v="1"/>
    <s v="Pending"/>
    <x v="11"/>
    <x v="0"/>
    <x v="0"/>
    <n v="6687.2259999999997"/>
    <n v="3343.6129999999998"/>
    <n v="3343.6129999999998"/>
  </r>
  <r>
    <x v="234"/>
    <x v="0"/>
    <d v="2024-01-24T00:00:00"/>
    <d v="2024-02-23T00:00:00"/>
    <n v="2206.77"/>
    <x v="3"/>
    <x v="0"/>
    <s v="Pending"/>
    <x v="153"/>
    <x v="0"/>
    <x v="0"/>
    <n v="2206.77"/>
    <n v="0"/>
    <n v="2206.77"/>
  </r>
  <r>
    <x v="235"/>
    <x v="0"/>
    <d v="2023-12-09T00:00:00"/>
    <d v="2024-01-08T00:00:00"/>
    <n v="1191.52"/>
    <x v="3"/>
    <x v="2"/>
    <d v="2024-01-08T00:00:00"/>
    <x v="7"/>
    <x v="1"/>
    <x v="0"/>
    <n v="1191.52"/>
    <n v="1191.52"/>
    <n v="0"/>
  </r>
  <r>
    <x v="236"/>
    <x v="0"/>
    <d v="2023-01-12T00:00:00"/>
    <d v="2023-02-11T00:00:00"/>
    <n v="1715.9"/>
    <x v="1"/>
    <x v="1"/>
    <s v="Pending"/>
    <x v="154"/>
    <x v="0"/>
    <x v="0"/>
    <n v="2367.942"/>
    <n v="1183.971"/>
    <n v="1183.971"/>
  </r>
  <r>
    <x v="237"/>
    <x v="1"/>
    <d v="2023-01-30T00:00:00"/>
    <d v="2023-03-01T00:00:00"/>
    <n v="2281.3000000000002"/>
    <x v="2"/>
    <x v="2"/>
    <d v="2023-03-01T00:00:00"/>
    <x v="7"/>
    <x v="1"/>
    <x v="0"/>
    <n v="1710.9750000000001"/>
    <n v="1710.9750000000001"/>
    <n v="0"/>
  </r>
  <r>
    <x v="238"/>
    <x v="2"/>
    <d v="2024-03-11T00:00:00"/>
    <d v="2024-04-10T00:00:00"/>
    <n v="3825.33"/>
    <x v="2"/>
    <x v="0"/>
    <s v="Pending"/>
    <x v="155"/>
    <x v="0"/>
    <x v="0"/>
    <n v="2868.9974999999999"/>
    <n v="0"/>
    <n v="2868.9974999999999"/>
  </r>
  <r>
    <x v="239"/>
    <x v="2"/>
    <d v="2023-03-23T00:00:00"/>
    <d v="2023-04-22T00:00:00"/>
    <n v="4771.6000000000004"/>
    <x v="4"/>
    <x v="1"/>
    <s v="Pending"/>
    <x v="156"/>
    <x v="0"/>
    <x v="0"/>
    <n v="6918.8200000000006"/>
    <n v="3459.4100000000003"/>
    <n v="3459.4100000000003"/>
  </r>
  <r>
    <x v="240"/>
    <x v="2"/>
    <d v="2024-07-01T00:00:00"/>
    <d v="2024-07-31T00:00:00"/>
    <n v="3536.61"/>
    <x v="3"/>
    <x v="1"/>
    <s v="Pending"/>
    <x v="157"/>
    <x v="0"/>
    <x v="0"/>
    <n v="3536.61"/>
    <n v="1768.3050000000001"/>
    <n v="1768.3050000000001"/>
  </r>
  <r>
    <x v="241"/>
    <x v="4"/>
    <d v="2023-06-10T00:00:00"/>
    <d v="2023-07-10T00:00:00"/>
    <n v="4873.4799999999996"/>
    <x v="0"/>
    <x v="2"/>
    <d v="2023-07-10T00:00:00"/>
    <x v="7"/>
    <x v="1"/>
    <x v="0"/>
    <n v="4191.1927999999998"/>
    <n v="4191.1927999999998"/>
    <n v="0"/>
  </r>
  <r>
    <x v="242"/>
    <x v="0"/>
    <d v="2024-11-22T00:00:00"/>
    <d v="2024-12-22T00:00:00"/>
    <n v="3763.83"/>
    <x v="4"/>
    <x v="1"/>
    <s v="Pending"/>
    <x v="158"/>
    <x v="0"/>
    <x v="0"/>
    <n v="5457.5535"/>
    <n v="2728.77675"/>
    <n v="2728.77675"/>
  </r>
  <r>
    <x v="243"/>
    <x v="0"/>
    <d v="2023-04-29T00:00:00"/>
    <d v="2023-05-29T00:00:00"/>
    <n v="1956.76"/>
    <x v="1"/>
    <x v="1"/>
    <s v="Pending"/>
    <x v="159"/>
    <x v="0"/>
    <x v="0"/>
    <n v="2700.3287999999998"/>
    <n v="1350.1643999999999"/>
    <n v="1350.1643999999999"/>
  </r>
  <r>
    <x v="244"/>
    <x v="0"/>
    <d v="2024-04-14T00:00:00"/>
    <d v="2024-05-14T00:00:00"/>
    <n v="4541.03"/>
    <x v="4"/>
    <x v="1"/>
    <s v="Pending"/>
    <x v="88"/>
    <x v="0"/>
    <x v="0"/>
    <n v="6584.4934999999996"/>
    <n v="3292.2467499999998"/>
    <n v="3292.2467499999998"/>
  </r>
  <r>
    <x v="245"/>
    <x v="2"/>
    <d v="2023-10-04T00:00:00"/>
    <d v="2023-11-03T00:00:00"/>
    <n v="3118.33"/>
    <x v="3"/>
    <x v="1"/>
    <s v="Pending"/>
    <x v="160"/>
    <x v="0"/>
    <x v="0"/>
    <n v="3118.33"/>
    <n v="1559.165"/>
    <n v="1559.165"/>
  </r>
  <r>
    <x v="246"/>
    <x v="2"/>
    <d v="2024-07-30T00:00:00"/>
    <d v="2024-08-29T00:00:00"/>
    <n v="4825.22"/>
    <x v="1"/>
    <x v="2"/>
    <d v="2024-08-29T00:00:00"/>
    <x v="7"/>
    <x v="1"/>
    <x v="0"/>
    <n v="6658.8036000000002"/>
    <n v="6658.8036000000002"/>
    <n v="0"/>
  </r>
  <r>
    <x v="247"/>
    <x v="4"/>
    <d v="2025-02-24T00:00:00"/>
    <d v="2025-03-26T00:00:00"/>
    <n v="3534.62"/>
    <x v="4"/>
    <x v="1"/>
    <s v="Pending"/>
    <x v="161"/>
    <x v="2"/>
    <x v="0"/>
    <n v="5125.1989999999996"/>
    <n v="2562.5994999999998"/>
    <n v="2562.5994999999998"/>
  </r>
  <r>
    <x v="248"/>
    <x v="2"/>
    <d v="2023-05-29T00:00:00"/>
    <d v="2023-06-28T00:00:00"/>
    <n v="2784.2"/>
    <x v="2"/>
    <x v="2"/>
    <d v="2023-06-28T00:00:00"/>
    <x v="7"/>
    <x v="1"/>
    <x v="0"/>
    <n v="2088.1499999999996"/>
    <n v="2088.1499999999996"/>
    <n v="0"/>
  </r>
  <r>
    <x v="249"/>
    <x v="1"/>
    <d v="2025-05-15T00:00:00"/>
    <d v="2025-06-14T00:00:00"/>
    <n v="4703.79"/>
    <x v="4"/>
    <x v="0"/>
    <s v="Pending"/>
    <x v="162"/>
    <x v="2"/>
    <x v="0"/>
    <n v="6820.4955"/>
    <n v="0"/>
    <n v="6820.4955"/>
  </r>
  <r>
    <x v="250"/>
    <x v="4"/>
    <d v="2024-05-11T00:00:00"/>
    <d v="2024-06-10T00:00:00"/>
    <n v="3586.26"/>
    <x v="4"/>
    <x v="0"/>
    <s v="Pending"/>
    <x v="55"/>
    <x v="0"/>
    <x v="0"/>
    <n v="5200.0770000000002"/>
    <n v="0"/>
    <n v="5200.0770000000002"/>
  </r>
  <r>
    <x v="251"/>
    <x v="0"/>
    <d v="2024-03-22T00:00:00"/>
    <d v="2024-04-21T00:00:00"/>
    <n v="2609.4499999999998"/>
    <x v="3"/>
    <x v="2"/>
    <d v="2024-04-21T00:00:00"/>
    <x v="7"/>
    <x v="1"/>
    <x v="0"/>
    <n v="2609.4499999999998"/>
    <n v="2609.4499999999998"/>
    <n v="0"/>
  </r>
  <r>
    <x v="252"/>
    <x v="0"/>
    <d v="2023-03-14T00:00:00"/>
    <d v="2023-04-13T00:00:00"/>
    <n v="527.17999999999995"/>
    <x v="2"/>
    <x v="2"/>
    <d v="2023-04-13T00:00:00"/>
    <x v="7"/>
    <x v="1"/>
    <x v="0"/>
    <n v="395.38499999999999"/>
    <n v="395.38499999999999"/>
    <n v="0"/>
  </r>
  <r>
    <x v="253"/>
    <x v="3"/>
    <d v="2023-06-09T00:00:00"/>
    <d v="2023-07-09T00:00:00"/>
    <n v="3705.03"/>
    <x v="4"/>
    <x v="1"/>
    <s v="Pending"/>
    <x v="163"/>
    <x v="0"/>
    <x v="0"/>
    <n v="5372.2934999999998"/>
    <n v="2686.1467499999999"/>
    <n v="2686.1467499999999"/>
  </r>
  <r>
    <x v="254"/>
    <x v="0"/>
    <d v="2024-05-28T00:00:00"/>
    <d v="2024-06-27T00:00:00"/>
    <n v="1274.56"/>
    <x v="4"/>
    <x v="0"/>
    <s v="Pending"/>
    <x v="164"/>
    <x v="0"/>
    <x v="0"/>
    <n v="1848.1119999999999"/>
    <n v="0"/>
    <n v="1848.1119999999999"/>
  </r>
  <r>
    <x v="255"/>
    <x v="1"/>
    <d v="2025-06-07T00:00:00"/>
    <d v="2025-07-07T00:00:00"/>
    <n v="928.12"/>
    <x v="0"/>
    <x v="2"/>
    <d v="2025-07-07T00:00:00"/>
    <x v="7"/>
    <x v="1"/>
    <x v="0"/>
    <n v="798.18319999999994"/>
    <n v="798.18319999999994"/>
    <n v="0"/>
  </r>
  <r>
    <x v="256"/>
    <x v="4"/>
    <d v="2025-02-07T00:00:00"/>
    <d v="2025-03-09T00:00:00"/>
    <n v="3380.41"/>
    <x v="2"/>
    <x v="1"/>
    <s v="Pending"/>
    <x v="165"/>
    <x v="0"/>
    <x v="0"/>
    <n v="2535.3074999999999"/>
    <n v="1267.6537499999999"/>
    <n v="1267.6537499999999"/>
  </r>
  <r>
    <x v="257"/>
    <x v="4"/>
    <d v="2023-01-23T00:00:00"/>
    <d v="2023-02-22T00:00:00"/>
    <n v="489.13"/>
    <x v="0"/>
    <x v="0"/>
    <s v="Pending"/>
    <x v="166"/>
    <x v="0"/>
    <x v="0"/>
    <n v="420.65179999999998"/>
    <n v="0"/>
    <n v="420.65179999999998"/>
  </r>
  <r>
    <x v="258"/>
    <x v="1"/>
    <d v="2023-11-07T00:00:00"/>
    <d v="2023-12-07T00:00:00"/>
    <n v="2309.52"/>
    <x v="3"/>
    <x v="1"/>
    <s v="Pending"/>
    <x v="167"/>
    <x v="0"/>
    <x v="0"/>
    <n v="2309.52"/>
    <n v="1154.76"/>
    <n v="1154.76"/>
  </r>
  <r>
    <x v="259"/>
    <x v="0"/>
    <d v="2023-08-28T00:00:00"/>
    <d v="2023-09-27T00:00:00"/>
    <n v="2555.11"/>
    <x v="1"/>
    <x v="0"/>
    <s v="Pending"/>
    <x v="168"/>
    <x v="0"/>
    <x v="0"/>
    <n v="3526.0517999999997"/>
    <n v="0"/>
    <n v="3526.0517999999997"/>
  </r>
  <r>
    <x v="260"/>
    <x v="2"/>
    <d v="2024-03-22T00:00:00"/>
    <d v="2024-04-21T00:00:00"/>
    <n v="3084.27"/>
    <x v="3"/>
    <x v="2"/>
    <d v="2024-04-21T00:00:00"/>
    <x v="7"/>
    <x v="1"/>
    <x v="0"/>
    <n v="3084.27"/>
    <n v="3084.27"/>
    <n v="0"/>
  </r>
  <r>
    <x v="261"/>
    <x v="0"/>
    <d v="2025-02-05T00:00:00"/>
    <d v="2025-03-07T00:00:00"/>
    <n v="2226.56"/>
    <x v="0"/>
    <x v="2"/>
    <d v="2025-03-07T00:00:00"/>
    <x v="7"/>
    <x v="1"/>
    <x v="0"/>
    <n v="1914.8416"/>
    <n v="1914.8416"/>
    <n v="0"/>
  </r>
  <r>
    <x v="262"/>
    <x v="3"/>
    <d v="2024-01-25T00:00:00"/>
    <d v="2024-02-24T00:00:00"/>
    <n v="1081.44"/>
    <x v="4"/>
    <x v="2"/>
    <d v="2024-02-24T00:00:00"/>
    <x v="7"/>
    <x v="1"/>
    <x v="0"/>
    <n v="1568.088"/>
    <n v="1568.088"/>
    <n v="0"/>
  </r>
  <r>
    <x v="263"/>
    <x v="2"/>
    <d v="2023-06-12T00:00:00"/>
    <d v="2023-07-12T00:00:00"/>
    <n v="985.69"/>
    <x v="3"/>
    <x v="1"/>
    <s v="Pending"/>
    <x v="169"/>
    <x v="0"/>
    <x v="0"/>
    <n v="985.69"/>
    <n v="492.84500000000003"/>
    <n v="492.84500000000003"/>
  </r>
  <r>
    <x v="264"/>
    <x v="0"/>
    <d v="2025-05-15T00:00:00"/>
    <d v="2025-06-14T00:00:00"/>
    <n v="4502.04"/>
    <x v="1"/>
    <x v="1"/>
    <s v="Pending"/>
    <x v="162"/>
    <x v="2"/>
    <x v="0"/>
    <n v="6212.8151999999991"/>
    <n v="3106.4075999999995"/>
    <n v="3106.4075999999995"/>
  </r>
  <r>
    <x v="265"/>
    <x v="4"/>
    <d v="2025-01-29T00:00:00"/>
    <d v="2025-02-28T00:00:00"/>
    <n v="1415.18"/>
    <x v="2"/>
    <x v="1"/>
    <s v="Pending"/>
    <x v="170"/>
    <x v="0"/>
    <x v="0"/>
    <n v="1061.385"/>
    <n v="530.6925"/>
    <n v="530.6925"/>
  </r>
  <r>
    <x v="266"/>
    <x v="3"/>
    <d v="2023-10-10T00:00:00"/>
    <d v="2023-11-09T00:00:00"/>
    <n v="3176.41"/>
    <x v="0"/>
    <x v="0"/>
    <s v="Pending"/>
    <x v="171"/>
    <x v="0"/>
    <x v="0"/>
    <n v="2731.7125999999998"/>
    <n v="0"/>
    <n v="2731.7125999999998"/>
  </r>
  <r>
    <x v="267"/>
    <x v="2"/>
    <d v="2023-06-17T00:00:00"/>
    <d v="2023-07-17T00:00:00"/>
    <n v="4887.26"/>
    <x v="3"/>
    <x v="0"/>
    <s v="Pending"/>
    <x v="172"/>
    <x v="0"/>
    <x v="0"/>
    <n v="4887.26"/>
    <n v="0"/>
    <n v="4887.26"/>
  </r>
  <r>
    <x v="268"/>
    <x v="3"/>
    <d v="2024-09-10T00:00:00"/>
    <d v="2024-10-10T00:00:00"/>
    <n v="3883.76"/>
    <x v="2"/>
    <x v="1"/>
    <s v="Pending"/>
    <x v="173"/>
    <x v="0"/>
    <x v="0"/>
    <n v="2912.82"/>
    <n v="1456.41"/>
    <n v="1456.41"/>
  </r>
  <r>
    <x v="269"/>
    <x v="3"/>
    <d v="2025-06-12T00:00:00"/>
    <d v="2025-07-12T00:00:00"/>
    <n v="1284.06"/>
    <x v="1"/>
    <x v="0"/>
    <s v="Pending"/>
    <x v="57"/>
    <x v="2"/>
    <x v="0"/>
    <n v="1772.0027999999998"/>
    <n v="0"/>
    <n v="1772.0027999999998"/>
  </r>
  <r>
    <x v="270"/>
    <x v="3"/>
    <d v="2025-06-26T00:00:00"/>
    <d v="2025-07-26T00:00:00"/>
    <n v="4305.1899999999996"/>
    <x v="2"/>
    <x v="2"/>
    <d v="2025-07-26T00:00:00"/>
    <x v="7"/>
    <x v="1"/>
    <x v="0"/>
    <n v="3228.8924999999999"/>
    <n v="3228.8924999999999"/>
    <n v="0"/>
  </r>
  <r>
    <x v="271"/>
    <x v="3"/>
    <d v="2023-11-12T00:00:00"/>
    <d v="2023-12-12T00:00:00"/>
    <n v="1810.33"/>
    <x v="4"/>
    <x v="0"/>
    <s v="Pending"/>
    <x v="174"/>
    <x v="0"/>
    <x v="0"/>
    <n v="2624.9784999999997"/>
    <n v="0"/>
    <n v="2624.9784999999997"/>
  </r>
  <r>
    <x v="272"/>
    <x v="0"/>
    <d v="2024-03-22T00:00:00"/>
    <d v="2024-04-21T00:00:00"/>
    <n v="3741.63"/>
    <x v="0"/>
    <x v="0"/>
    <s v="Pending"/>
    <x v="175"/>
    <x v="0"/>
    <x v="0"/>
    <n v="3217.8018000000002"/>
    <n v="0"/>
    <n v="3217.8018000000002"/>
  </r>
  <r>
    <x v="273"/>
    <x v="1"/>
    <d v="2024-01-31T00:00:00"/>
    <d v="2024-03-01T00:00:00"/>
    <n v="2037.12"/>
    <x v="4"/>
    <x v="2"/>
    <d v="2024-03-01T00:00:00"/>
    <x v="7"/>
    <x v="1"/>
    <x v="0"/>
    <n v="2953.8239999999996"/>
    <n v="2953.8239999999996"/>
    <n v="0"/>
  </r>
  <r>
    <x v="274"/>
    <x v="1"/>
    <d v="2024-02-10T00:00:00"/>
    <d v="2024-03-11T00:00:00"/>
    <n v="970.98"/>
    <x v="3"/>
    <x v="0"/>
    <s v="Pending"/>
    <x v="176"/>
    <x v="0"/>
    <x v="0"/>
    <n v="970.98"/>
    <n v="0"/>
    <n v="970.98"/>
  </r>
  <r>
    <x v="275"/>
    <x v="3"/>
    <d v="2023-03-12T00:00:00"/>
    <d v="2023-04-11T00:00:00"/>
    <n v="743.53"/>
    <x v="4"/>
    <x v="2"/>
    <d v="2023-04-11T00:00:00"/>
    <x v="7"/>
    <x v="1"/>
    <x v="0"/>
    <n v="1078.1185"/>
    <n v="1078.1185"/>
    <n v="0"/>
  </r>
  <r>
    <x v="276"/>
    <x v="2"/>
    <d v="2024-07-05T00:00:00"/>
    <d v="2024-08-04T00:00:00"/>
    <n v="983.96"/>
    <x v="2"/>
    <x v="0"/>
    <s v="Pending"/>
    <x v="177"/>
    <x v="0"/>
    <x v="0"/>
    <n v="737.97"/>
    <n v="0"/>
    <n v="737.97"/>
  </r>
  <r>
    <x v="277"/>
    <x v="2"/>
    <d v="2024-08-09T00:00:00"/>
    <d v="2024-09-08T00:00:00"/>
    <n v="1917.71"/>
    <x v="2"/>
    <x v="0"/>
    <s v="Pending"/>
    <x v="178"/>
    <x v="0"/>
    <x v="0"/>
    <n v="1438.2825"/>
    <n v="0"/>
    <n v="1438.2825"/>
  </r>
  <r>
    <x v="278"/>
    <x v="0"/>
    <d v="2024-07-14T00:00:00"/>
    <d v="2024-08-13T00:00:00"/>
    <n v="1199.03"/>
    <x v="3"/>
    <x v="1"/>
    <s v="Pending"/>
    <x v="179"/>
    <x v="0"/>
    <x v="0"/>
    <n v="1199.03"/>
    <n v="599.51499999999999"/>
    <n v="599.51499999999999"/>
  </r>
  <r>
    <x v="279"/>
    <x v="2"/>
    <d v="2023-05-11T00:00:00"/>
    <d v="2023-06-10T00:00:00"/>
    <n v="317.85000000000002"/>
    <x v="3"/>
    <x v="2"/>
    <d v="2023-06-10T00:00:00"/>
    <x v="7"/>
    <x v="1"/>
    <x v="0"/>
    <n v="317.85000000000002"/>
    <n v="317.85000000000002"/>
    <n v="0"/>
  </r>
  <r>
    <x v="280"/>
    <x v="1"/>
    <d v="2025-04-06T00:00:00"/>
    <d v="2025-05-06T00:00:00"/>
    <n v="4556.93"/>
    <x v="0"/>
    <x v="1"/>
    <s v="Pending"/>
    <x v="180"/>
    <x v="2"/>
    <x v="0"/>
    <n v="3918.9598000000001"/>
    <n v="1959.4799"/>
    <n v="1959.4799"/>
  </r>
  <r>
    <x v="281"/>
    <x v="0"/>
    <d v="2024-11-10T00:00:00"/>
    <d v="2024-12-10T00:00:00"/>
    <n v="1600.22"/>
    <x v="2"/>
    <x v="0"/>
    <s v="Pending"/>
    <x v="181"/>
    <x v="0"/>
    <x v="0"/>
    <n v="1200.165"/>
    <n v="0"/>
    <n v="1200.165"/>
  </r>
  <r>
    <x v="282"/>
    <x v="1"/>
    <d v="2023-02-17T00:00:00"/>
    <d v="2023-03-19T00:00:00"/>
    <n v="2011.23"/>
    <x v="2"/>
    <x v="0"/>
    <s v="Pending"/>
    <x v="127"/>
    <x v="0"/>
    <x v="0"/>
    <n v="1508.4225000000001"/>
    <n v="0"/>
    <n v="1508.4225000000001"/>
  </r>
  <r>
    <x v="283"/>
    <x v="1"/>
    <d v="2024-10-16T00:00:00"/>
    <d v="2024-11-15T00:00:00"/>
    <n v="2093.29"/>
    <x v="1"/>
    <x v="0"/>
    <s v="Pending"/>
    <x v="182"/>
    <x v="0"/>
    <x v="0"/>
    <n v="2888.7401999999997"/>
    <n v="0"/>
    <n v="2888.7401999999997"/>
  </r>
  <r>
    <x v="284"/>
    <x v="4"/>
    <d v="2025-04-05T00:00:00"/>
    <d v="2025-05-05T00:00:00"/>
    <n v="4095"/>
    <x v="1"/>
    <x v="1"/>
    <s v="Pending"/>
    <x v="183"/>
    <x v="2"/>
    <x v="0"/>
    <n v="5651.0999999999995"/>
    <n v="2825.5499999999997"/>
    <n v="2825.5499999999997"/>
  </r>
  <r>
    <x v="285"/>
    <x v="0"/>
    <d v="2024-01-11T00:00:00"/>
    <d v="2024-02-10T00:00:00"/>
    <n v="3459.29"/>
    <x v="2"/>
    <x v="1"/>
    <s v="Pending"/>
    <x v="184"/>
    <x v="0"/>
    <x v="0"/>
    <n v="2594.4674999999997"/>
    <n v="1297.2337499999999"/>
    <n v="1297.2337499999999"/>
  </r>
  <r>
    <x v="286"/>
    <x v="1"/>
    <d v="2023-10-26T00:00:00"/>
    <d v="2023-11-25T00:00:00"/>
    <n v="310.83999999999997"/>
    <x v="3"/>
    <x v="2"/>
    <d v="2023-11-25T00:00:00"/>
    <x v="7"/>
    <x v="1"/>
    <x v="0"/>
    <n v="310.83999999999997"/>
    <n v="310.83999999999997"/>
    <n v="0"/>
  </r>
  <r>
    <x v="287"/>
    <x v="2"/>
    <d v="2024-09-24T00:00:00"/>
    <d v="2024-10-24T00:00:00"/>
    <n v="929.39"/>
    <x v="0"/>
    <x v="1"/>
    <s v="Pending"/>
    <x v="185"/>
    <x v="0"/>
    <x v="0"/>
    <n v="799.27539999999999"/>
    <n v="399.6377"/>
    <n v="399.6377"/>
  </r>
  <r>
    <x v="288"/>
    <x v="4"/>
    <d v="2023-03-16T00:00:00"/>
    <d v="2023-04-15T00:00:00"/>
    <n v="4087.15"/>
    <x v="3"/>
    <x v="2"/>
    <d v="2023-04-15T00:00:00"/>
    <x v="7"/>
    <x v="1"/>
    <x v="0"/>
    <n v="4087.15"/>
    <n v="4087.15"/>
    <n v="0"/>
  </r>
  <r>
    <x v="289"/>
    <x v="3"/>
    <d v="2025-03-25T00:00:00"/>
    <d v="2025-04-24T00:00:00"/>
    <n v="2351.0300000000002"/>
    <x v="1"/>
    <x v="0"/>
    <s v="Pending"/>
    <x v="186"/>
    <x v="2"/>
    <x v="0"/>
    <n v="3244.4214000000002"/>
    <n v="0"/>
    <n v="3244.4214000000002"/>
  </r>
  <r>
    <x v="290"/>
    <x v="4"/>
    <d v="2023-08-14T00:00:00"/>
    <d v="2023-09-13T00:00:00"/>
    <n v="4799.5"/>
    <x v="2"/>
    <x v="2"/>
    <d v="2023-09-13T00:00:00"/>
    <x v="7"/>
    <x v="1"/>
    <x v="0"/>
    <n v="3599.625"/>
    <n v="3599.625"/>
    <n v="0"/>
  </r>
  <r>
    <x v="291"/>
    <x v="4"/>
    <d v="2023-06-28T00:00:00"/>
    <d v="2023-07-28T00:00:00"/>
    <n v="2284.77"/>
    <x v="4"/>
    <x v="0"/>
    <s v="Pending"/>
    <x v="17"/>
    <x v="0"/>
    <x v="0"/>
    <n v="3312.9164999999998"/>
    <n v="0"/>
    <n v="3312.9164999999998"/>
  </r>
  <r>
    <x v="292"/>
    <x v="1"/>
    <d v="2023-08-04T00:00:00"/>
    <d v="2023-09-03T00:00:00"/>
    <n v="2951.68"/>
    <x v="4"/>
    <x v="2"/>
    <d v="2023-09-03T00:00:00"/>
    <x v="7"/>
    <x v="1"/>
    <x v="0"/>
    <n v="4279.9359999999997"/>
    <n v="4279.9359999999997"/>
    <n v="0"/>
  </r>
  <r>
    <x v="293"/>
    <x v="2"/>
    <d v="2024-06-14T00:00:00"/>
    <d v="2024-07-14T00:00:00"/>
    <n v="4227.92"/>
    <x v="4"/>
    <x v="1"/>
    <s v="Pending"/>
    <x v="187"/>
    <x v="0"/>
    <x v="0"/>
    <n v="6130.4839999999995"/>
    <n v="3065.2419999999997"/>
    <n v="3065.2419999999997"/>
  </r>
  <r>
    <x v="294"/>
    <x v="4"/>
    <d v="2024-11-21T00:00:00"/>
    <d v="2024-12-21T00:00:00"/>
    <n v="1060.77"/>
    <x v="4"/>
    <x v="2"/>
    <d v="2024-12-21T00:00:00"/>
    <x v="7"/>
    <x v="1"/>
    <x v="0"/>
    <n v="1538.1164999999999"/>
    <n v="1538.1164999999999"/>
    <n v="0"/>
  </r>
  <r>
    <x v="295"/>
    <x v="0"/>
    <d v="2023-12-25T00:00:00"/>
    <d v="2024-01-24T00:00:00"/>
    <n v="4147.42"/>
    <x v="4"/>
    <x v="1"/>
    <s v="Pending"/>
    <x v="188"/>
    <x v="0"/>
    <x v="0"/>
    <n v="6013.759"/>
    <n v="3006.8795"/>
    <n v="3006.8795"/>
  </r>
  <r>
    <x v="296"/>
    <x v="2"/>
    <d v="2023-10-07T00:00:00"/>
    <d v="2023-11-06T00:00:00"/>
    <n v="4406.58"/>
    <x v="2"/>
    <x v="2"/>
    <d v="2023-11-06T00:00:00"/>
    <x v="7"/>
    <x v="1"/>
    <x v="0"/>
    <n v="3304.9349999999999"/>
    <n v="3304.9349999999999"/>
    <n v="0"/>
  </r>
  <r>
    <x v="297"/>
    <x v="3"/>
    <d v="2023-05-23T00:00:00"/>
    <d v="2023-06-22T00:00:00"/>
    <n v="3855.44"/>
    <x v="1"/>
    <x v="0"/>
    <s v="Pending"/>
    <x v="189"/>
    <x v="0"/>
    <x v="0"/>
    <n v="5320.5072"/>
    <n v="0"/>
    <n v="5320.5072"/>
  </r>
  <r>
    <x v="298"/>
    <x v="2"/>
    <d v="2025-04-26T00:00:00"/>
    <d v="2025-05-26T00:00:00"/>
    <n v="1239.49"/>
    <x v="1"/>
    <x v="0"/>
    <s v="Pending"/>
    <x v="190"/>
    <x v="2"/>
    <x v="0"/>
    <n v="1710.4961999999998"/>
    <n v="0"/>
    <n v="1710.4961999999998"/>
  </r>
  <r>
    <x v="299"/>
    <x v="3"/>
    <d v="2025-06-11T00:00:00"/>
    <d v="2025-07-11T00:00:00"/>
    <n v="4842.93"/>
    <x v="4"/>
    <x v="0"/>
    <s v="Pending"/>
    <x v="191"/>
    <x v="2"/>
    <x v="0"/>
    <n v="7022.2485000000006"/>
    <n v="0"/>
    <n v="7022.2485000000006"/>
  </r>
  <r>
    <x v="300"/>
    <x v="0"/>
    <d v="2025-06-25T00:00:00"/>
    <d v="2025-07-25T00:00:00"/>
    <n v="1477.77"/>
    <x v="3"/>
    <x v="0"/>
    <s v="Pending"/>
    <x v="192"/>
    <x v="2"/>
    <x v="0"/>
    <n v="1477.77"/>
    <n v="0"/>
    <n v="1477.77"/>
  </r>
  <r>
    <x v="301"/>
    <x v="1"/>
    <d v="2025-03-01T00:00:00"/>
    <d v="2025-03-31T00:00:00"/>
    <n v="4772.12"/>
    <x v="3"/>
    <x v="2"/>
    <d v="2025-03-31T00:00:00"/>
    <x v="7"/>
    <x v="1"/>
    <x v="0"/>
    <n v="4772.12"/>
    <n v="4772.12"/>
    <n v="0"/>
  </r>
  <r>
    <x v="302"/>
    <x v="4"/>
    <d v="2023-04-19T00:00:00"/>
    <d v="2023-05-19T00:00:00"/>
    <n v="2860.03"/>
    <x v="4"/>
    <x v="2"/>
    <d v="2023-05-19T00:00:00"/>
    <x v="7"/>
    <x v="1"/>
    <x v="0"/>
    <n v="4147.0434999999998"/>
    <n v="4147.0434999999998"/>
    <n v="0"/>
  </r>
  <r>
    <x v="303"/>
    <x v="4"/>
    <d v="2024-07-31T00:00:00"/>
    <d v="2024-08-30T00:00:00"/>
    <n v="1886.55"/>
    <x v="4"/>
    <x v="1"/>
    <s v="Pending"/>
    <x v="28"/>
    <x v="0"/>
    <x v="0"/>
    <n v="2735.4974999999999"/>
    <n v="1367.74875"/>
    <n v="1367.74875"/>
  </r>
  <r>
    <x v="304"/>
    <x v="0"/>
    <d v="2024-06-06T00:00:00"/>
    <d v="2024-07-06T00:00:00"/>
    <n v="4336.49"/>
    <x v="4"/>
    <x v="0"/>
    <s v="Pending"/>
    <x v="140"/>
    <x v="0"/>
    <x v="0"/>
    <n v="6287.910499999999"/>
    <n v="0"/>
    <n v="6287.910499999999"/>
  </r>
  <r>
    <x v="305"/>
    <x v="0"/>
    <d v="2023-11-26T00:00:00"/>
    <d v="2023-12-26T00:00:00"/>
    <n v="4046.8"/>
    <x v="3"/>
    <x v="1"/>
    <s v="Pending"/>
    <x v="193"/>
    <x v="0"/>
    <x v="0"/>
    <n v="4046.8"/>
    <n v="2023.4"/>
    <n v="2023.4"/>
  </r>
  <r>
    <x v="306"/>
    <x v="0"/>
    <d v="2025-05-10T00:00:00"/>
    <d v="2025-06-09T00:00:00"/>
    <n v="3387.6"/>
    <x v="4"/>
    <x v="2"/>
    <d v="2025-06-09T00:00:00"/>
    <x v="7"/>
    <x v="1"/>
    <x v="0"/>
    <n v="4912.0199999999995"/>
    <n v="4912.0199999999995"/>
    <n v="0"/>
  </r>
  <r>
    <x v="307"/>
    <x v="3"/>
    <d v="2025-01-22T00:00:00"/>
    <d v="2025-02-21T00:00:00"/>
    <n v="4207.8599999999997"/>
    <x v="0"/>
    <x v="0"/>
    <s v="Pending"/>
    <x v="194"/>
    <x v="0"/>
    <x v="0"/>
    <n v="3618.7595999999999"/>
    <n v="0"/>
    <n v="3618.7595999999999"/>
  </r>
  <r>
    <x v="308"/>
    <x v="4"/>
    <d v="2024-01-29T00:00:00"/>
    <d v="2024-02-28T00:00:00"/>
    <n v="2784.29"/>
    <x v="1"/>
    <x v="0"/>
    <s v="Pending"/>
    <x v="195"/>
    <x v="0"/>
    <x v="0"/>
    <n v="3842.3201999999997"/>
    <n v="0"/>
    <n v="3842.3201999999997"/>
  </r>
  <r>
    <x v="309"/>
    <x v="4"/>
    <d v="2024-10-11T00:00:00"/>
    <d v="2024-11-10T00:00:00"/>
    <n v="2721.22"/>
    <x v="2"/>
    <x v="1"/>
    <s v="Pending"/>
    <x v="196"/>
    <x v="0"/>
    <x v="0"/>
    <n v="2040.915"/>
    <n v="1020.4575"/>
    <n v="1020.4575"/>
  </r>
  <r>
    <x v="310"/>
    <x v="1"/>
    <d v="2023-03-08T00:00:00"/>
    <d v="2023-04-07T00:00:00"/>
    <n v="1741.36"/>
    <x v="1"/>
    <x v="1"/>
    <s v="Pending"/>
    <x v="197"/>
    <x v="0"/>
    <x v="0"/>
    <n v="2403.0767999999998"/>
    <n v="1201.5383999999999"/>
    <n v="1201.5383999999999"/>
  </r>
  <r>
    <x v="311"/>
    <x v="4"/>
    <d v="2024-06-22T00:00:00"/>
    <d v="2024-07-22T00:00:00"/>
    <n v="4981.4399999999996"/>
    <x v="3"/>
    <x v="2"/>
    <d v="2024-07-22T00:00:00"/>
    <x v="7"/>
    <x v="1"/>
    <x v="0"/>
    <n v="4981.4399999999996"/>
    <n v="4981.4399999999996"/>
    <n v="0"/>
  </r>
  <r>
    <x v="312"/>
    <x v="2"/>
    <d v="2023-05-16T00:00:00"/>
    <d v="2023-06-15T00:00:00"/>
    <n v="2244.6799999999998"/>
    <x v="0"/>
    <x v="0"/>
    <s v="Pending"/>
    <x v="19"/>
    <x v="0"/>
    <x v="0"/>
    <n v="1930.4247999999998"/>
    <n v="0"/>
    <n v="1930.4247999999998"/>
  </r>
  <r>
    <x v="313"/>
    <x v="0"/>
    <d v="2024-10-02T00:00:00"/>
    <d v="2024-11-01T00:00:00"/>
    <n v="660.06"/>
    <x v="4"/>
    <x v="2"/>
    <d v="2024-11-01T00:00:00"/>
    <x v="7"/>
    <x v="1"/>
    <x v="0"/>
    <n v="957.08699999999988"/>
    <n v="957.08699999999988"/>
    <n v="0"/>
  </r>
  <r>
    <x v="314"/>
    <x v="3"/>
    <d v="2025-03-06T00:00:00"/>
    <d v="2025-04-05T00:00:00"/>
    <n v="2932.27"/>
    <x v="4"/>
    <x v="2"/>
    <d v="2025-04-05T00:00:00"/>
    <x v="7"/>
    <x v="1"/>
    <x v="0"/>
    <n v="4251.7915000000003"/>
    <n v="4251.7915000000003"/>
    <n v="0"/>
  </r>
  <r>
    <x v="315"/>
    <x v="3"/>
    <d v="2024-08-07T00:00:00"/>
    <d v="2024-09-06T00:00:00"/>
    <n v="451.25"/>
    <x v="2"/>
    <x v="0"/>
    <s v="Pending"/>
    <x v="198"/>
    <x v="0"/>
    <x v="0"/>
    <n v="338.4375"/>
    <n v="0"/>
    <n v="338.4375"/>
  </r>
  <r>
    <x v="316"/>
    <x v="1"/>
    <d v="2025-06-30T00:00:00"/>
    <d v="2025-07-30T00:00:00"/>
    <n v="2665.5"/>
    <x v="1"/>
    <x v="1"/>
    <s v="Pending"/>
    <x v="68"/>
    <x v="2"/>
    <x v="0"/>
    <n v="3678.39"/>
    <n v="1839.1949999999999"/>
    <n v="1839.1949999999999"/>
  </r>
  <r>
    <x v="317"/>
    <x v="0"/>
    <d v="2025-02-19T00:00:00"/>
    <d v="2025-03-21T00:00:00"/>
    <n v="1471.82"/>
    <x v="3"/>
    <x v="0"/>
    <s v="Pending"/>
    <x v="199"/>
    <x v="0"/>
    <x v="0"/>
    <n v="1471.82"/>
    <n v="0"/>
    <n v="1471.82"/>
  </r>
  <r>
    <x v="318"/>
    <x v="2"/>
    <d v="2024-04-09T00:00:00"/>
    <d v="2024-05-09T00:00:00"/>
    <n v="1830.02"/>
    <x v="2"/>
    <x v="2"/>
    <d v="2024-05-09T00:00:00"/>
    <x v="7"/>
    <x v="1"/>
    <x v="0"/>
    <n v="1372.5149999999999"/>
    <n v="1372.5149999999999"/>
    <n v="0"/>
  </r>
  <r>
    <x v="319"/>
    <x v="2"/>
    <d v="2023-02-22T00:00:00"/>
    <d v="2023-03-24T00:00:00"/>
    <n v="4995.3900000000003"/>
    <x v="1"/>
    <x v="1"/>
    <s v="Pending"/>
    <x v="200"/>
    <x v="0"/>
    <x v="0"/>
    <n v="6893.6382000000003"/>
    <n v="3446.8191000000002"/>
    <n v="3446.8191000000002"/>
  </r>
  <r>
    <x v="320"/>
    <x v="2"/>
    <d v="2023-05-22T00:00:00"/>
    <d v="2023-06-21T00:00:00"/>
    <n v="4822.93"/>
    <x v="4"/>
    <x v="1"/>
    <s v="Pending"/>
    <x v="51"/>
    <x v="0"/>
    <x v="0"/>
    <n v="6993.2485000000006"/>
    <n v="3496.6242500000003"/>
    <n v="3496.6242500000003"/>
  </r>
  <r>
    <x v="321"/>
    <x v="0"/>
    <d v="2023-01-02T00:00:00"/>
    <d v="2023-02-01T00:00:00"/>
    <n v="1174.97"/>
    <x v="3"/>
    <x v="2"/>
    <d v="2023-02-01T00:00:00"/>
    <x v="7"/>
    <x v="1"/>
    <x v="0"/>
    <n v="1174.97"/>
    <n v="1174.97"/>
    <n v="0"/>
  </r>
  <r>
    <x v="322"/>
    <x v="3"/>
    <d v="2024-04-05T00:00:00"/>
    <d v="2024-05-05T00:00:00"/>
    <n v="1018.67"/>
    <x v="0"/>
    <x v="1"/>
    <s v="Pending"/>
    <x v="201"/>
    <x v="0"/>
    <x v="0"/>
    <n v="876.05619999999999"/>
    <n v="438.02809999999999"/>
    <n v="438.02809999999999"/>
  </r>
  <r>
    <x v="323"/>
    <x v="4"/>
    <d v="2024-08-24T00:00:00"/>
    <d v="2024-09-23T00:00:00"/>
    <n v="525.23"/>
    <x v="4"/>
    <x v="0"/>
    <s v="Pending"/>
    <x v="202"/>
    <x v="0"/>
    <x v="0"/>
    <n v="761.58349999999996"/>
    <n v="0"/>
    <n v="761.58349999999996"/>
  </r>
  <r>
    <x v="324"/>
    <x v="4"/>
    <d v="2023-03-29T00:00:00"/>
    <d v="2023-04-28T00:00:00"/>
    <n v="4607.07"/>
    <x v="3"/>
    <x v="0"/>
    <s v="Pending"/>
    <x v="203"/>
    <x v="0"/>
    <x v="0"/>
    <n v="4607.07"/>
    <n v="0"/>
    <n v="4607.07"/>
  </r>
  <r>
    <x v="325"/>
    <x v="0"/>
    <d v="2023-05-08T00:00:00"/>
    <d v="2023-06-07T00:00:00"/>
    <n v="2792.15"/>
    <x v="1"/>
    <x v="2"/>
    <d v="2023-06-07T00:00:00"/>
    <x v="7"/>
    <x v="1"/>
    <x v="0"/>
    <n v="3853.1669999999999"/>
    <n v="3853.1669999999999"/>
    <n v="0"/>
  </r>
  <r>
    <x v="326"/>
    <x v="0"/>
    <d v="2024-08-07T00:00:00"/>
    <d v="2024-09-06T00:00:00"/>
    <n v="3719.04"/>
    <x v="2"/>
    <x v="0"/>
    <s v="Pending"/>
    <x v="198"/>
    <x v="0"/>
    <x v="0"/>
    <n v="2789.2799999999997"/>
    <n v="0"/>
    <n v="2789.2799999999997"/>
  </r>
  <r>
    <x v="327"/>
    <x v="1"/>
    <d v="2024-10-11T00:00:00"/>
    <d v="2024-11-10T00:00:00"/>
    <n v="4169.05"/>
    <x v="0"/>
    <x v="2"/>
    <d v="2024-11-10T00:00:00"/>
    <x v="7"/>
    <x v="1"/>
    <x v="0"/>
    <n v="3585.3830000000003"/>
    <n v="3585.3830000000003"/>
    <n v="0"/>
  </r>
  <r>
    <x v="328"/>
    <x v="3"/>
    <d v="2024-12-17T00:00:00"/>
    <d v="2025-01-16T00:00:00"/>
    <n v="1405.35"/>
    <x v="4"/>
    <x v="0"/>
    <s v="Pending"/>
    <x v="204"/>
    <x v="0"/>
    <x v="0"/>
    <n v="2037.7574999999997"/>
    <n v="0"/>
    <n v="2037.7574999999997"/>
  </r>
  <r>
    <x v="329"/>
    <x v="3"/>
    <d v="2024-04-19T00:00:00"/>
    <d v="2024-05-19T00:00:00"/>
    <n v="4512.4399999999996"/>
    <x v="4"/>
    <x v="1"/>
    <s v="Pending"/>
    <x v="205"/>
    <x v="0"/>
    <x v="0"/>
    <n v="6543.0379999999996"/>
    <n v="3271.5189999999998"/>
    <n v="3271.5189999999998"/>
  </r>
  <r>
    <x v="330"/>
    <x v="2"/>
    <d v="2024-04-13T00:00:00"/>
    <d v="2024-05-13T00:00:00"/>
    <n v="1855.47"/>
    <x v="0"/>
    <x v="0"/>
    <s v="Pending"/>
    <x v="206"/>
    <x v="0"/>
    <x v="0"/>
    <n v="1595.7041999999999"/>
    <n v="0"/>
    <n v="1595.7041999999999"/>
  </r>
  <r>
    <x v="331"/>
    <x v="1"/>
    <d v="2024-12-07T00:00:00"/>
    <d v="2025-01-06T00:00:00"/>
    <n v="1596.9"/>
    <x v="1"/>
    <x v="2"/>
    <d v="2025-01-06T00:00:00"/>
    <x v="7"/>
    <x v="1"/>
    <x v="0"/>
    <n v="2203.7219999999998"/>
    <n v="2203.7219999999998"/>
    <n v="0"/>
  </r>
  <r>
    <x v="332"/>
    <x v="1"/>
    <d v="2023-01-23T00:00:00"/>
    <d v="2023-02-22T00:00:00"/>
    <n v="176.54"/>
    <x v="1"/>
    <x v="2"/>
    <d v="2023-02-22T00:00:00"/>
    <x v="7"/>
    <x v="1"/>
    <x v="0"/>
    <n v="243.62519999999998"/>
    <n v="243.62519999999998"/>
    <n v="0"/>
  </r>
  <r>
    <x v="333"/>
    <x v="2"/>
    <d v="2025-02-17T00:00:00"/>
    <d v="2025-03-19T00:00:00"/>
    <n v="1225.82"/>
    <x v="1"/>
    <x v="0"/>
    <s v="Pending"/>
    <x v="207"/>
    <x v="0"/>
    <x v="0"/>
    <n v="1691.6315999999997"/>
    <n v="0"/>
    <n v="1691.6315999999997"/>
  </r>
  <r>
    <x v="334"/>
    <x v="0"/>
    <d v="2024-01-30T00:00:00"/>
    <d v="2024-02-29T00:00:00"/>
    <n v="355.21"/>
    <x v="1"/>
    <x v="0"/>
    <s v="Pending"/>
    <x v="208"/>
    <x v="0"/>
    <x v="0"/>
    <n v="490.18979999999993"/>
    <n v="0"/>
    <n v="490.18979999999993"/>
  </r>
  <r>
    <x v="335"/>
    <x v="3"/>
    <d v="2025-03-20T00:00:00"/>
    <d v="2025-04-19T00:00:00"/>
    <n v="4628.8599999999997"/>
    <x v="0"/>
    <x v="2"/>
    <d v="2025-04-19T00:00:00"/>
    <x v="7"/>
    <x v="1"/>
    <x v="0"/>
    <n v="3980.8195999999998"/>
    <n v="3980.8195999999998"/>
    <n v="0"/>
  </r>
  <r>
    <x v="336"/>
    <x v="4"/>
    <d v="2023-12-08T00:00:00"/>
    <d v="2024-01-07T00:00:00"/>
    <n v="2845.8"/>
    <x v="0"/>
    <x v="1"/>
    <s v="Pending"/>
    <x v="209"/>
    <x v="0"/>
    <x v="0"/>
    <n v="2447.3879999999999"/>
    <n v="1223.694"/>
    <n v="1223.694"/>
  </r>
  <r>
    <x v="337"/>
    <x v="2"/>
    <d v="2025-06-02T00:00:00"/>
    <d v="2025-07-02T00:00:00"/>
    <n v="1566.29"/>
    <x v="0"/>
    <x v="0"/>
    <s v="Pending"/>
    <x v="210"/>
    <x v="2"/>
    <x v="0"/>
    <n v="1347.0093999999999"/>
    <n v="0"/>
    <n v="1347.0093999999999"/>
  </r>
  <r>
    <x v="338"/>
    <x v="3"/>
    <d v="2023-11-05T00:00:00"/>
    <d v="2023-12-05T00:00:00"/>
    <n v="4917.53"/>
    <x v="0"/>
    <x v="2"/>
    <d v="2023-12-05T00:00:00"/>
    <x v="7"/>
    <x v="1"/>
    <x v="0"/>
    <n v="4229.0757999999996"/>
    <n v="4229.0757999999996"/>
    <n v="0"/>
  </r>
  <r>
    <x v="339"/>
    <x v="4"/>
    <d v="2023-12-22T00:00:00"/>
    <d v="2024-01-21T00:00:00"/>
    <n v="2748.45"/>
    <x v="2"/>
    <x v="0"/>
    <s v="Pending"/>
    <x v="211"/>
    <x v="0"/>
    <x v="0"/>
    <n v="2061.3374999999996"/>
    <n v="0"/>
    <n v="2061.3374999999996"/>
  </r>
  <r>
    <x v="340"/>
    <x v="3"/>
    <d v="2025-01-15T00:00:00"/>
    <d v="2025-02-14T00:00:00"/>
    <n v="2910.56"/>
    <x v="4"/>
    <x v="2"/>
    <d v="2025-02-14T00:00:00"/>
    <x v="7"/>
    <x v="1"/>
    <x v="0"/>
    <n v="4220.3119999999999"/>
    <n v="4220.3119999999999"/>
    <n v="0"/>
  </r>
  <r>
    <x v="341"/>
    <x v="2"/>
    <d v="2025-06-23T00:00:00"/>
    <d v="2025-07-23T00:00:00"/>
    <n v="728.89"/>
    <x v="3"/>
    <x v="1"/>
    <s v="Pending"/>
    <x v="212"/>
    <x v="2"/>
    <x v="0"/>
    <n v="728.89"/>
    <n v="364.44499999999999"/>
    <n v="364.44499999999999"/>
  </r>
  <r>
    <x v="342"/>
    <x v="0"/>
    <d v="2023-02-24T00:00:00"/>
    <d v="2023-03-26T00:00:00"/>
    <n v="1790.61"/>
    <x v="3"/>
    <x v="1"/>
    <s v="Pending"/>
    <x v="213"/>
    <x v="0"/>
    <x v="0"/>
    <n v="1790.61"/>
    <n v="895.30499999999995"/>
    <n v="895.30499999999995"/>
  </r>
  <r>
    <x v="343"/>
    <x v="3"/>
    <d v="2024-03-07T00:00:00"/>
    <d v="2024-04-06T00:00:00"/>
    <n v="3085.28"/>
    <x v="2"/>
    <x v="2"/>
    <d v="2024-04-06T00:00:00"/>
    <x v="7"/>
    <x v="1"/>
    <x v="0"/>
    <n v="2313.96"/>
    <n v="2313.96"/>
    <n v="0"/>
  </r>
  <r>
    <x v="344"/>
    <x v="1"/>
    <d v="2023-08-16T00:00:00"/>
    <d v="2023-09-15T00:00:00"/>
    <n v="899.5"/>
    <x v="2"/>
    <x v="0"/>
    <s v="Pending"/>
    <x v="101"/>
    <x v="0"/>
    <x v="0"/>
    <n v="674.625"/>
    <n v="0"/>
    <n v="674.625"/>
  </r>
  <r>
    <x v="345"/>
    <x v="3"/>
    <d v="2023-01-11T00:00:00"/>
    <d v="2023-02-10T00:00:00"/>
    <n v="1797.02"/>
    <x v="3"/>
    <x v="0"/>
    <s v="Pending"/>
    <x v="214"/>
    <x v="0"/>
    <x v="0"/>
    <n v="1797.02"/>
    <n v="0"/>
    <n v="1797.02"/>
  </r>
  <r>
    <x v="346"/>
    <x v="2"/>
    <d v="2023-08-31T00:00:00"/>
    <d v="2023-09-30T00:00:00"/>
    <n v="4901.42"/>
    <x v="1"/>
    <x v="0"/>
    <s v="Pending"/>
    <x v="215"/>
    <x v="0"/>
    <x v="0"/>
    <n v="6763.9595999999992"/>
    <n v="0"/>
    <n v="6763.9595999999992"/>
  </r>
  <r>
    <x v="347"/>
    <x v="3"/>
    <d v="2023-02-05T00:00:00"/>
    <d v="2023-03-07T00:00:00"/>
    <n v="4612.1400000000003"/>
    <x v="2"/>
    <x v="2"/>
    <d v="2023-03-07T00:00:00"/>
    <x v="7"/>
    <x v="1"/>
    <x v="0"/>
    <n v="3459.1050000000005"/>
    <n v="3459.1050000000005"/>
    <n v="0"/>
  </r>
  <r>
    <x v="348"/>
    <x v="0"/>
    <d v="2024-06-09T00:00:00"/>
    <d v="2024-07-09T00:00:00"/>
    <n v="3151.2"/>
    <x v="1"/>
    <x v="1"/>
    <s v="Pending"/>
    <x v="216"/>
    <x v="0"/>
    <x v="0"/>
    <n v="4348.655999999999"/>
    <n v="2174.3279999999995"/>
    <n v="2174.3279999999995"/>
  </r>
  <r>
    <x v="349"/>
    <x v="3"/>
    <d v="2024-03-21T00:00:00"/>
    <d v="2024-04-20T00:00:00"/>
    <n v="4219.03"/>
    <x v="4"/>
    <x v="2"/>
    <d v="2024-04-20T00:00:00"/>
    <x v="7"/>
    <x v="1"/>
    <x v="0"/>
    <n v="6117.593499999999"/>
    <n v="6117.593499999999"/>
    <n v="0"/>
  </r>
  <r>
    <x v="350"/>
    <x v="2"/>
    <d v="2023-12-13T00:00:00"/>
    <d v="2024-01-12T00:00:00"/>
    <n v="4971.99"/>
    <x v="0"/>
    <x v="0"/>
    <s v="Pending"/>
    <x v="217"/>
    <x v="0"/>
    <x v="0"/>
    <n v="4275.9114"/>
    <n v="0"/>
    <n v="4275.9114"/>
  </r>
  <r>
    <x v="351"/>
    <x v="1"/>
    <d v="2023-12-21T00:00:00"/>
    <d v="2024-01-20T00:00:00"/>
    <n v="3366.62"/>
    <x v="2"/>
    <x v="2"/>
    <d v="2024-01-20T00:00:00"/>
    <x v="7"/>
    <x v="1"/>
    <x v="0"/>
    <n v="2524.9650000000001"/>
    <n v="2524.9650000000001"/>
    <n v="0"/>
  </r>
  <r>
    <x v="352"/>
    <x v="4"/>
    <d v="2025-03-19T00:00:00"/>
    <d v="2025-04-18T00:00:00"/>
    <n v="499.9"/>
    <x v="1"/>
    <x v="2"/>
    <d v="2025-04-18T00:00:00"/>
    <x v="7"/>
    <x v="1"/>
    <x v="0"/>
    <n v="689.86199999999997"/>
    <n v="689.86199999999997"/>
    <n v="0"/>
  </r>
  <r>
    <x v="353"/>
    <x v="1"/>
    <d v="2023-09-28T00:00:00"/>
    <d v="2023-10-28T00:00:00"/>
    <n v="4834.01"/>
    <x v="2"/>
    <x v="2"/>
    <d v="2023-10-28T00:00:00"/>
    <x v="7"/>
    <x v="1"/>
    <x v="0"/>
    <n v="3625.5075000000002"/>
    <n v="3625.5075000000002"/>
    <n v="0"/>
  </r>
  <r>
    <x v="354"/>
    <x v="4"/>
    <d v="2023-04-11T00:00:00"/>
    <d v="2023-05-11T00:00:00"/>
    <n v="1132.31"/>
    <x v="3"/>
    <x v="1"/>
    <s v="Pending"/>
    <x v="218"/>
    <x v="0"/>
    <x v="0"/>
    <n v="1132.31"/>
    <n v="566.15499999999997"/>
    <n v="566.15499999999997"/>
  </r>
  <r>
    <x v="355"/>
    <x v="4"/>
    <d v="2025-05-20T00:00:00"/>
    <d v="2025-06-19T00:00:00"/>
    <n v="239.21"/>
    <x v="0"/>
    <x v="1"/>
    <s v="Pending"/>
    <x v="219"/>
    <x v="2"/>
    <x v="0"/>
    <n v="205.72059999999999"/>
    <n v="102.8603"/>
    <n v="102.8603"/>
  </r>
  <r>
    <x v="356"/>
    <x v="0"/>
    <d v="2023-09-21T00:00:00"/>
    <d v="2023-10-21T00:00:00"/>
    <n v="1990.65"/>
    <x v="0"/>
    <x v="0"/>
    <s v="Pending"/>
    <x v="220"/>
    <x v="0"/>
    <x v="0"/>
    <n v="1711.9590000000001"/>
    <n v="0"/>
    <n v="1711.9590000000001"/>
  </r>
  <r>
    <x v="357"/>
    <x v="0"/>
    <d v="2023-08-22T00:00:00"/>
    <d v="2023-09-21T00:00:00"/>
    <n v="4029.65"/>
    <x v="1"/>
    <x v="2"/>
    <d v="2023-09-21T00:00:00"/>
    <x v="7"/>
    <x v="1"/>
    <x v="0"/>
    <n v="5560.9169999999995"/>
    <n v="5560.9169999999995"/>
    <n v="0"/>
  </r>
  <r>
    <x v="358"/>
    <x v="1"/>
    <d v="2024-09-10T00:00:00"/>
    <d v="2024-10-10T00:00:00"/>
    <n v="1667.66"/>
    <x v="4"/>
    <x v="0"/>
    <s v="Pending"/>
    <x v="173"/>
    <x v="0"/>
    <x v="0"/>
    <n v="2418.107"/>
    <n v="0"/>
    <n v="2418.107"/>
  </r>
  <r>
    <x v="359"/>
    <x v="1"/>
    <d v="2024-02-03T00:00:00"/>
    <d v="2024-03-04T00:00:00"/>
    <n v="687.7"/>
    <x v="4"/>
    <x v="0"/>
    <s v="Pending"/>
    <x v="110"/>
    <x v="0"/>
    <x v="0"/>
    <n v="997.16500000000008"/>
    <n v="0"/>
    <n v="997.16500000000008"/>
  </r>
  <r>
    <x v="360"/>
    <x v="3"/>
    <d v="2023-09-05T00:00:00"/>
    <d v="2023-10-05T00:00:00"/>
    <n v="1555.59"/>
    <x v="3"/>
    <x v="2"/>
    <d v="2023-10-05T00:00:00"/>
    <x v="7"/>
    <x v="1"/>
    <x v="0"/>
    <n v="1555.59"/>
    <n v="1555.59"/>
    <n v="0"/>
  </r>
  <r>
    <x v="361"/>
    <x v="0"/>
    <d v="2024-01-07T00:00:00"/>
    <d v="2024-02-06T00:00:00"/>
    <n v="937.69"/>
    <x v="4"/>
    <x v="2"/>
    <d v="2024-02-06T00:00:00"/>
    <x v="7"/>
    <x v="1"/>
    <x v="0"/>
    <n v="1359.6505"/>
    <n v="1359.6505"/>
    <n v="0"/>
  </r>
  <r>
    <x v="362"/>
    <x v="2"/>
    <d v="2024-01-16T00:00:00"/>
    <d v="2024-02-15T00:00:00"/>
    <n v="2005.72"/>
    <x v="3"/>
    <x v="2"/>
    <d v="2024-02-15T00:00:00"/>
    <x v="7"/>
    <x v="1"/>
    <x v="0"/>
    <n v="2005.72"/>
    <n v="2005.72"/>
    <n v="0"/>
  </r>
  <r>
    <x v="363"/>
    <x v="0"/>
    <d v="2024-01-15T00:00:00"/>
    <d v="2024-02-14T00:00:00"/>
    <n v="4353.25"/>
    <x v="1"/>
    <x v="2"/>
    <d v="2024-02-14T00:00:00"/>
    <x v="7"/>
    <x v="1"/>
    <x v="0"/>
    <n v="6007.4849999999997"/>
    <n v="6007.4849999999997"/>
    <n v="0"/>
  </r>
  <r>
    <x v="364"/>
    <x v="0"/>
    <d v="2024-12-27T00:00:00"/>
    <d v="2025-01-26T00:00:00"/>
    <n v="2122.23"/>
    <x v="4"/>
    <x v="0"/>
    <s v="Pending"/>
    <x v="18"/>
    <x v="0"/>
    <x v="0"/>
    <n v="3077.2334999999998"/>
    <n v="0"/>
    <n v="3077.2334999999998"/>
  </r>
  <r>
    <x v="365"/>
    <x v="4"/>
    <d v="2025-04-09T00:00:00"/>
    <d v="2025-05-09T00:00:00"/>
    <n v="3957.87"/>
    <x v="1"/>
    <x v="1"/>
    <s v="Pending"/>
    <x v="221"/>
    <x v="2"/>
    <x v="0"/>
    <n v="5461.8605999999991"/>
    <n v="2730.9302999999995"/>
    <n v="2730.9302999999995"/>
  </r>
  <r>
    <x v="366"/>
    <x v="0"/>
    <d v="2024-07-22T00:00:00"/>
    <d v="2024-08-21T00:00:00"/>
    <n v="3266.74"/>
    <x v="4"/>
    <x v="1"/>
    <s v="Pending"/>
    <x v="222"/>
    <x v="0"/>
    <x v="0"/>
    <n v="4736.7729999999992"/>
    <n v="2368.3864999999996"/>
    <n v="2368.3864999999996"/>
  </r>
  <r>
    <x v="367"/>
    <x v="4"/>
    <d v="2024-04-29T00:00:00"/>
    <d v="2024-05-29T00:00:00"/>
    <n v="4729.29"/>
    <x v="4"/>
    <x v="1"/>
    <s v="Pending"/>
    <x v="223"/>
    <x v="0"/>
    <x v="0"/>
    <n v="6857.4704999999994"/>
    <n v="3428.7352499999997"/>
    <n v="3428.7352499999997"/>
  </r>
  <r>
    <x v="368"/>
    <x v="2"/>
    <d v="2025-03-15T00:00:00"/>
    <d v="2025-04-14T00:00:00"/>
    <n v="1404.93"/>
    <x v="4"/>
    <x v="1"/>
    <s v="Pending"/>
    <x v="224"/>
    <x v="2"/>
    <x v="0"/>
    <n v="2037.1485"/>
    <n v="1018.57425"/>
    <n v="1018.57425"/>
  </r>
  <r>
    <x v="369"/>
    <x v="4"/>
    <d v="2024-12-05T00:00:00"/>
    <d v="2025-01-04T00:00:00"/>
    <n v="2397.5100000000002"/>
    <x v="1"/>
    <x v="1"/>
    <s v="Pending"/>
    <x v="94"/>
    <x v="0"/>
    <x v="0"/>
    <n v="3308.5637999999999"/>
    <n v="1654.2819"/>
    <n v="1654.2819"/>
  </r>
  <r>
    <x v="370"/>
    <x v="4"/>
    <d v="2023-03-20T00:00:00"/>
    <d v="2023-04-19T00:00:00"/>
    <n v="3324.14"/>
    <x v="4"/>
    <x v="2"/>
    <d v="2023-04-19T00:00:00"/>
    <x v="7"/>
    <x v="1"/>
    <x v="0"/>
    <n v="4820.0029999999997"/>
    <n v="4820.0029999999997"/>
    <n v="0"/>
  </r>
  <r>
    <x v="371"/>
    <x v="3"/>
    <d v="2023-12-30T00:00:00"/>
    <d v="2024-01-29T00:00:00"/>
    <n v="4000.08"/>
    <x v="2"/>
    <x v="0"/>
    <s v="Pending"/>
    <x v="225"/>
    <x v="0"/>
    <x v="0"/>
    <n v="3000.06"/>
    <n v="0"/>
    <n v="3000.06"/>
  </r>
  <r>
    <x v="372"/>
    <x v="3"/>
    <d v="2025-05-11T00:00:00"/>
    <d v="2025-06-10T00:00:00"/>
    <n v="692.78"/>
    <x v="0"/>
    <x v="2"/>
    <d v="2025-06-10T00:00:00"/>
    <x v="7"/>
    <x v="1"/>
    <x v="0"/>
    <n v="595.79079999999999"/>
    <n v="595.79079999999999"/>
    <n v="0"/>
  </r>
  <r>
    <x v="373"/>
    <x v="2"/>
    <d v="2023-05-20T00:00:00"/>
    <d v="2023-06-19T00:00:00"/>
    <n v="485.69"/>
    <x v="0"/>
    <x v="1"/>
    <s v="Pending"/>
    <x v="226"/>
    <x v="0"/>
    <x v="0"/>
    <n v="417.6934"/>
    <n v="208.8467"/>
    <n v="208.8467"/>
  </r>
  <r>
    <x v="374"/>
    <x v="4"/>
    <d v="2023-08-30T00:00:00"/>
    <d v="2023-09-29T00:00:00"/>
    <n v="2956.85"/>
    <x v="0"/>
    <x v="2"/>
    <d v="2023-09-29T00:00:00"/>
    <x v="7"/>
    <x v="1"/>
    <x v="0"/>
    <n v="2542.8910000000001"/>
    <n v="2542.8910000000001"/>
    <n v="0"/>
  </r>
  <r>
    <x v="375"/>
    <x v="1"/>
    <d v="2023-11-03T00:00:00"/>
    <d v="2023-12-03T00:00:00"/>
    <n v="2455.2600000000002"/>
    <x v="1"/>
    <x v="1"/>
    <s v="Pending"/>
    <x v="227"/>
    <x v="0"/>
    <x v="0"/>
    <n v="3388.2588000000001"/>
    <n v="1694.1294"/>
    <n v="1694.1294"/>
  </r>
  <r>
    <x v="376"/>
    <x v="2"/>
    <d v="2023-02-01T00:00:00"/>
    <d v="2023-03-03T00:00:00"/>
    <n v="852.36"/>
    <x v="1"/>
    <x v="2"/>
    <d v="2023-03-03T00:00:00"/>
    <x v="7"/>
    <x v="1"/>
    <x v="0"/>
    <n v="1176.2567999999999"/>
    <n v="1176.2567999999999"/>
    <n v="0"/>
  </r>
  <r>
    <x v="377"/>
    <x v="4"/>
    <d v="2023-07-22T00:00:00"/>
    <d v="2023-08-21T00:00:00"/>
    <n v="4885.47"/>
    <x v="0"/>
    <x v="1"/>
    <s v="Pending"/>
    <x v="228"/>
    <x v="0"/>
    <x v="0"/>
    <n v="4201.5042000000003"/>
    <n v="2100.7521000000002"/>
    <n v="2100.7521000000002"/>
  </r>
  <r>
    <x v="378"/>
    <x v="4"/>
    <d v="2024-08-17T00:00:00"/>
    <d v="2024-09-16T00:00:00"/>
    <n v="3332.33"/>
    <x v="3"/>
    <x v="0"/>
    <s v="Pending"/>
    <x v="229"/>
    <x v="0"/>
    <x v="0"/>
    <n v="3332.33"/>
    <n v="0"/>
    <n v="3332.33"/>
  </r>
  <r>
    <x v="379"/>
    <x v="4"/>
    <d v="2023-09-01T00:00:00"/>
    <d v="2023-10-01T00:00:00"/>
    <n v="431.39"/>
    <x v="3"/>
    <x v="2"/>
    <d v="2023-10-01T00:00:00"/>
    <x v="7"/>
    <x v="1"/>
    <x v="0"/>
    <n v="431.39"/>
    <n v="431.39"/>
    <n v="0"/>
  </r>
  <r>
    <x v="380"/>
    <x v="0"/>
    <d v="2024-03-12T00:00:00"/>
    <d v="2024-04-11T00:00:00"/>
    <n v="2201.16"/>
    <x v="2"/>
    <x v="0"/>
    <s v="Pending"/>
    <x v="230"/>
    <x v="0"/>
    <x v="0"/>
    <n v="1650.87"/>
    <n v="0"/>
    <n v="1650.87"/>
  </r>
  <r>
    <x v="381"/>
    <x v="3"/>
    <d v="2024-09-17T00:00:00"/>
    <d v="2024-10-17T00:00:00"/>
    <n v="726.32"/>
    <x v="2"/>
    <x v="2"/>
    <d v="2024-10-17T00:00:00"/>
    <x v="7"/>
    <x v="1"/>
    <x v="0"/>
    <n v="544.74"/>
    <n v="544.74"/>
    <n v="0"/>
  </r>
  <r>
    <x v="382"/>
    <x v="4"/>
    <d v="2024-02-07T00:00:00"/>
    <d v="2024-03-08T00:00:00"/>
    <n v="4541.1000000000004"/>
    <x v="4"/>
    <x v="1"/>
    <s v="Pending"/>
    <x v="231"/>
    <x v="0"/>
    <x v="0"/>
    <n v="6584.5950000000003"/>
    <n v="3292.2975000000001"/>
    <n v="3292.2975000000001"/>
  </r>
  <r>
    <x v="383"/>
    <x v="1"/>
    <d v="2025-05-20T00:00:00"/>
    <d v="2025-06-19T00:00:00"/>
    <n v="249.48"/>
    <x v="1"/>
    <x v="2"/>
    <d v="2025-06-19T00:00:00"/>
    <x v="7"/>
    <x v="1"/>
    <x v="0"/>
    <n v="344.28239999999994"/>
    <n v="344.28239999999994"/>
    <n v="0"/>
  </r>
  <r>
    <x v="384"/>
    <x v="0"/>
    <d v="2023-12-24T00:00:00"/>
    <d v="2024-01-23T00:00:00"/>
    <n v="3005.5"/>
    <x v="0"/>
    <x v="0"/>
    <s v="Pending"/>
    <x v="232"/>
    <x v="0"/>
    <x v="0"/>
    <n v="2584.73"/>
    <n v="0"/>
    <n v="2584.73"/>
  </r>
  <r>
    <x v="385"/>
    <x v="4"/>
    <d v="2023-01-04T00:00:00"/>
    <d v="2023-02-03T00:00:00"/>
    <n v="1857.96"/>
    <x v="0"/>
    <x v="2"/>
    <d v="2023-02-03T00:00:00"/>
    <x v="7"/>
    <x v="1"/>
    <x v="0"/>
    <n v="1597.8456000000001"/>
    <n v="1597.8456000000001"/>
    <n v="0"/>
  </r>
  <r>
    <x v="386"/>
    <x v="4"/>
    <d v="2024-11-20T00:00:00"/>
    <d v="2024-12-20T00:00:00"/>
    <n v="915.02"/>
    <x v="4"/>
    <x v="0"/>
    <s v="Pending"/>
    <x v="233"/>
    <x v="0"/>
    <x v="0"/>
    <n v="1326.779"/>
    <n v="0"/>
    <n v="1326.779"/>
  </r>
  <r>
    <x v="387"/>
    <x v="0"/>
    <d v="2024-07-07T00:00:00"/>
    <d v="2024-08-06T00:00:00"/>
    <n v="4101.55"/>
    <x v="2"/>
    <x v="0"/>
    <s v="Pending"/>
    <x v="234"/>
    <x v="0"/>
    <x v="0"/>
    <n v="3076.1625000000004"/>
    <n v="0"/>
    <n v="3076.1625000000004"/>
  </r>
  <r>
    <x v="388"/>
    <x v="3"/>
    <d v="2023-12-12T00:00:00"/>
    <d v="2024-01-11T00:00:00"/>
    <n v="4184.6499999999996"/>
    <x v="0"/>
    <x v="1"/>
    <s v="Pending"/>
    <x v="235"/>
    <x v="0"/>
    <x v="0"/>
    <n v="3598.7989999999995"/>
    <n v="1799.3994999999998"/>
    <n v="1799.3994999999998"/>
  </r>
  <r>
    <x v="389"/>
    <x v="2"/>
    <d v="2024-04-26T00:00:00"/>
    <d v="2024-05-26T00:00:00"/>
    <n v="4769.93"/>
    <x v="1"/>
    <x v="0"/>
    <s v="Pending"/>
    <x v="43"/>
    <x v="0"/>
    <x v="0"/>
    <n v="6582.5033999999996"/>
    <n v="0"/>
    <n v="6582.5033999999996"/>
  </r>
  <r>
    <x v="390"/>
    <x v="3"/>
    <d v="2024-04-05T00:00:00"/>
    <d v="2024-05-05T00:00:00"/>
    <n v="3082.55"/>
    <x v="4"/>
    <x v="1"/>
    <s v="Pending"/>
    <x v="201"/>
    <x v="0"/>
    <x v="0"/>
    <n v="4469.6975000000002"/>
    <n v="2234.8487500000001"/>
    <n v="2234.8487500000001"/>
  </r>
  <r>
    <x v="391"/>
    <x v="1"/>
    <d v="2023-11-07T00:00:00"/>
    <d v="2023-12-07T00:00:00"/>
    <n v="4720.7700000000004"/>
    <x v="3"/>
    <x v="2"/>
    <d v="2023-12-07T00:00:00"/>
    <x v="7"/>
    <x v="1"/>
    <x v="0"/>
    <n v="4720.7700000000004"/>
    <n v="4720.7700000000004"/>
    <n v="0"/>
  </r>
  <r>
    <x v="392"/>
    <x v="1"/>
    <d v="2024-05-24T00:00:00"/>
    <d v="2024-06-23T00:00:00"/>
    <n v="4645.08"/>
    <x v="4"/>
    <x v="0"/>
    <s v="Pending"/>
    <x v="236"/>
    <x v="0"/>
    <x v="0"/>
    <n v="6735.366"/>
    <n v="0"/>
    <n v="6735.366"/>
  </r>
  <r>
    <x v="393"/>
    <x v="1"/>
    <d v="2024-06-21T00:00:00"/>
    <d v="2024-07-21T00:00:00"/>
    <n v="2488.5"/>
    <x v="3"/>
    <x v="0"/>
    <s v="Pending"/>
    <x v="237"/>
    <x v="0"/>
    <x v="0"/>
    <n v="2488.5"/>
    <n v="0"/>
    <n v="2488.5"/>
  </r>
  <r>
    <x v="394"/>
    <x v="3"/>
    <d v="2024-01-17T00:00:00"/>
    <d v="2024-02-16T00:00:00"/>
    <n v="4687.1499999999996"/>
    <x v="1"/>
    <x v="1"/>
    <s v="Pending"/>
    <x v="238"/>
    <x v="0"/>
    <x v="0"/>
    <n v="6468.2669999999989"/>
    <n v="3234.1334999999995"/>
    <n v="3234.1334999999995"/>
  </r>
  <r>
    <x v="395"/>
    <x v="3"/>
    <d v="2023-10-28T00:00:00"/>
    <d v="2023-11-27T00:00:00"/>
    <n v="3299.79"/>
    <x v="3"/>
    <x v="0"/>
    <s v="Pending"/>
    <x v="63"/>
    <x v="0"/>
    <x v="0"/>
    <n v="3299.79"/>
    <n v="0"/>
    <n v="3299.79"/>
  </r>
  <r>
    <x v="396"/>
    <x v="1"/>
    <d v="2024-09-06T00:00:00"/>
    <d v="2024-10-06T00:00:00"/>
    <n v="1150.1099999999999"/>
    <x v="2"/>
    <x v="2"/>
    <d v="2024-10-06T00:00:00"/>
    <x v="7"/>
    <x v="1"/>
    <x v="0"/>
    <n v="862.58249999999998"/>
    <n v="862.58249999999998"/>
    <n v="0"/>
  </r>
  <r>
    <x v="397"/>
    <x v="3"/>
    <d v="2024-02-07T00:00:00"/>
    <d v="2024-03-08T00:00:00"/>
    <n v="1440.98"/>
    <x v="1"/>
    <x v="0"/>
    <s v="Pending"/>
    <x v="231"/>
    <x v="0"/>
    <x v="0"/>
    <n v="1988.5523999999998"/>
    <n v="0"/>
    <n v="1988.5523999999998"/>
  </r>
  <r>
    <x v="398"/>
    <x v="2"/>
    <d v="2023-03-27T00:00:00"/>
    <d v="2023-04-26T00:00:00"/>
    <n v="4705.1499999999996"/>
    <x v="4"/>
    <x v="2"/>
    <d v="2023-04-26T00:00:00"/>
    <x v="7"/>
    <x v="1"/>
    <x v="0"/>
    <n v="6822.4674999999988"/>
    <n v="6822.4674999999988"/>
    <n v="0"/>
  </r>
  <r>
    <x v="399"/>
    <x v="4"/>
    <d v="2023-06-09T00:00:00"/>
    <d v="2023-07-09T00:00:00"/>
    <n v="4226.8900000000003"/>
    <x v="4"/>
    <x v="2"/>
    <d v="2023-07-09T00:00:00"/>
    <x v="7"/>
    <x v="1"/>
    <x v="0"/>
    <n v="6128.9904999999999"/>
    <n v="6128.9904999999999"/>
    <n v="0"/>
  </r>
  <r>
    <x v="400"/>
    <x v="3"/>
    <d v="2025-04-29T00:00:00"/>
    <d v="2025-05-29T00:00:00"/>
    <n v="4706.16"/>
    <x v="2"/>
    <x v="2"/>
    <d v="2025-05-29T00:00:00"/>
    <x v="7"/>
    <x v="1"/>
    <x v="0"/>
    <n v="3529.62"/>
    <n v="3529.62"/>
    <n v="0"/>
  </r>
  <r>
    <x v="401"/>
    <x v="3"/>
    <d v="2023-08-07T00:00:00"/>
    <d v="2023-09-06T00:00:00"/>
    <n v="4149.5200000000004"/>
    <x v="3"/>
    <x v="2"/>
    <d v="2023-09-06T00:00:00"/>
    <x v="7"/>
    <x v="1"/>
    <x v="0"/>
    <n v="4149.5200000000004"/>
    <n v="4149.5200000000004"/>
    <n v="0"/>
  </r>
  <r>
    <x v="402"/>
    <x v="1"/>
    <d v="2023-12-26T00:00:00"/>
    <d v="2024-01-25T00:00:00"/>
    <n v="1586.89"/>
    <x v="0"/>
    <x v="1"/>
    <s v="Pending"/>
    <x v="90"/>
    <x v="0"/>
    <x v="0"/>
    <n v="1364.7254"/>
    <n v="682.36270000000002"/>
    <n v="682.36270000000002"/>
  </r>
  <r>
    <x v="403"/>
    <x v="0"/>
    <d v="2025-04-10T00:00:00"/>
    <d v="2025-05-10T00:00:00"/>
    <n v="2473.2600000000002"/>
    <x v="3"/>
    <x v="0"/>
    <s v="Pending"/>
    <x v="239"/>
    <x v="2"/>
    <x v="0"/>
    <n v="2473.2600000000002"/>
    <n v="0"/>
    <n v="2473.2600000000002"/>
  </r>
  <r>
    <x v="404"/>
    <x v="0"/>
    <d v="2024-10-12T00:00:00"/>
    <d v="2024-11-11T00:00:00"/>
    <n v="3115.36"/>
    <x v="2"/>
    <x v="0"/>
    <s v="Pending"/>
    <x v="240"/>
    <x v="0"/>
    <x v="0"/>
    <n v="2336.52"/>
    <n v="0"/>
    <n v="2336.52"/>
  </r>
  <r>
    <x v="405"/>
    <x v="3"/>
    <d v="2025-04-28T00:00:00"/>
    <d v="2025-05-28T00:00:00"/>
    <n v="2243.81"/>
    <x v="4"/>
    <x v="2"/>
    <d v="2025-05-28T00:00:00"/>
    <x v="7"/>
    <x v="1"/>
    <x v="0"/>
    <n v="3253.5245"/>
    <n v="3253.5245"/>
    <n v="0"/>
  </r>
  <r>
    <x v="406"/>
    <x v="1"/>
    <d v="2025-03-13T00:00:00"/>
    <d v="2025-04-12T00:00:00"/>
    <n v="2764.23"/>
    <x v="2"/>
    <x v="1"/>
    <s v="Pending"/>
    <x v="83"/>
    <x v="2"/>
    <x v="0"/>
    <n v="2073.1725000000001"/>
    <n v="1036.5862500000001"/>
    <n v="1036.5862500000001"/>
  </r>
  <r>
    <x v="407"/>
    <x v="4"/>
    <d v="2023-12-26T00:00:00"/>
    <d v="2024-01-25T00:00:00"/>
    <n v="4219.16"/>
    <x v="3"/>
    <x v="1"/>
    <s v="Pending"/>
    <x v="90"/>
    <x v="0"/>
    <x v="0"/>
    <n v="4219.16"/>
    <n v="2109.58"/>
    <n v="2109.58"/>
  </r>
  <r>
    <x v="408"/>
    <x v="3"/>
    <d v="2024-05-18T00:00:00"/>
    <d v="2024-06-17T00:00:00"/>
    <n v="2719.44"/>
    <x v="1"/>
    <x v="0"/>
    <s v="Pending"/>
    <x v="1"/>
    <x v="0"/>
    <x v="0"/>
    <n v="3752.8271999999997"/>
    <n v="0"/>
    <n v="3752.8271999999997"/>
  </r>
  <r>
    <x v="409"/>
    <x v="4"/>
    <d v="2024-11-21T00:00:00"/>
    <d v="2024-12-21T00:00:00"/>
    <n v="3651.79"/>
    <x v="1"/>
    <x v="1"/>
    <s v="Pending"/>
    <x v="241"/>
    <x v="0"/>
    <x v="0"/>
    <n v="5039.4701999999997"/>
    <n v="2519.7350999999999"/>
    <n v="2519.7350999999999"/>
  </r>
  <r>
    <x v="410"/>
    <x v="3"/>
    <d v="2024-03-07T00:00:00"/>
    <d v="2024-04-06T00:00:00"/>
    <n v="1247.3"/>
    <x v="4"/>
    <x v="2"/>
    <d v="2024-04-06T00:00:00"/>
    <x v="7"/>
    <x v="1"/>
    <x v="0"/>
    <n v="1808.5849999999998"/>
    <n v="1808.5849999999998"/>
    <n v="0"/>
  </r>
  <r>
    <x v="411"/>
    <x v="4"/>
    <d v="2024-10-21T00:00:00"/>
    <d v="2024-11-20T00:00:00"/>
    <n v="1665.2"/>
    <x v="4"/>
    <x v="0"/>
    <s v="Pending"/>
    <x v="111"/>
    <x v="0"/>
    <x v="0"/>
    <n v="2414.54"/>
    <n v="0"/>
    <n v="2414.54"/>
  </r>
  <r>
    <x v="412"/>
    <x v="0"/>
    <d v="2025-04-22T00:00:00"/>
    <d v="2025-05-22T00:00:00"/>
    <n v="4157.1000000000004"/>
    <x v="2"/>
    <x v="1"/>
    <s v="Pending"/>
    <x v="242"/>
    <x v="2"/>
    <x v="0"/>
    <n v="3117.8250000000003"/>
    <n v="1558.9125000000001"/>
    <n v="1558.9125000000001"/>
  </r>
  <r>
    <x v="413"/>
    <x v="3"/>
    <d v="2023-06-01T00:00:00"/>
    <d v="2023-07-01T00:00:00"/>
    <n v="4306.1000000000004"/>
    <x v="1"/>
    <x v="1"/>
    <s v="Pending"/>
    <x v="243"/>
    <x v="0"/>
    <x v="0"/>
    <n v="5942.4179999999997"/>
    <n v="2971.2089999999998"/>
    <n v="2971.2089999999998"/>
  </r>
  <r>
    <x v="414"/>
    <x v="2"/>
    <d v="2024-09-14T00:00:00"/>
    <d v="2024-10-14T00:00:00"/>
    <n v="432.27"/>
    <x v="4"/>
    <x v="2"/>
    <d v="2024-10-14T00:00:00"/>
    <x v="7"/>
    <x v="1"/>
    <x v="0"/>
    <n v="626.79149999999993"/>
    <n v="626.79149999999993"/>
    <n v="0"/>
  </r>
  <r>
    <x v="415"/>
    <x v="0"/>
    <d v="2023-11-30T00:00:00"/>
    <d v="2023-12-30T00:00:00"/>
    <n v="2075.2199999999998"/>
    <x v="4"/>
    <x v="1"/>
    <s v="Pending"/>
    <x v="244"/>
    <x v="0"/>
    <x v="0"/>
    <n v="3009.0689999999995"/>
    <n v="1504.5344999999998"/>
    <n v="1504.5344999999998"/>
  </r>
  <r>
    <x v="416"/>
    <x v="3"/>
    <d v="2023-02-12T00:00:00"/>
    <d v="2023-03-14T00:00:00"/>
    <n v="2515.5700000000002"/>
    <x v="2"/>
    <x v="0"/>
    <s v="Pending"/>
    <x v="245"/>
    <x v="0"/>
    <x v="0"/>
    <n v="1886.6775000000002"/>
    <n v="0"/>
    <n v="1886.6775000000002"/>
  </r>
  <r>
    <x v="417"/>
    <x v="3"/>
    <d v="2023-12-05T00:00:00"/>
    <d v="2024-01-04T00:00:00"/>
    <n v="1960.15"/>
    <x v="3"/>
    <x v="1"/>
    <s v="Pending"/>
    <x v="246"/>
    <x v="0"/>
    <x v="0"/>
    <n v="1960.15"/>
    <n v="980.07500000000005"/>
    <n v="980.07500000000005"/>
  </r>
  <r>
    <x v="418"/>
    <x v="2"/>
    <d v="2023-07-24T00:00:00"/>
    <d v="2023-08-23T00:00:00"/>
    <n v="3168.02"/>
    <x v="4"/>
    <x v="1"/>
    <s v="Pending"/>
    <x v="247"/>
    <x v="0"/>
    <x v="0"/>
    <n v="4593.6289999999999"/>
    <n v="2296.8145"/>
    <n v="2296.8145"/>
  </r>
  <r>
    <x v="419"/>
    <x v="4"/>
    <d v="2023-05-31T00:00:00"/>
    <d v="2023-06-30T00:00:00"/>
    <n v="576.42999999999995"/>
    <x v="3"/>
    <x v="2"/>
    <d v="2023-06-30T00:00:00"/>
    <x v="7"/>
    <x v="1"/>
    <x v="0"/>
    <n v="576.42999999999995"/>
    <n v="576.42999999999995"/>
    <n v="0"/>
  </r>
  <r>
    <x v="420"/>
    <x v="3"/>
    <d v="2025-01-13T00:00:00"/>
    <d v="2025-02-12T00:00:00"/>
    <n v="460.35"/>
    <x v="3"/>
    <x v="0"/>
    <s v="Pending"/>
    <x v="248"/>
    <x v="0"/>
    <x v="0"/>
    <n v="460.35"/>
    <n v="0"/>
    <n v="460.35"/>
  </r>
  <r>
    <x v="421"/>
    <x v="3"/>
    <d v="2025-02-16T00:00:00"/>
    <d v="2025-03-18T00:00:00"/>
    <n v="2305.42"/>
    <x v="3"/>
    <x v="0"/>
    <s v="Pending"/>
    <x v="139"/>
    <x v="0"/>
    <x v="0"/>
    <n v="2305.42"/>
    <n v="0"/>
    <n v="2305.42"/>
  </r>
  <r>
    <x v="422"/>
    <x v="2"/>
    <d v="2023-12-16T00:00:00"/>
    <d v="2024-01-15T00:00:00"/>
    <n v="2623.62"/>
    <x v="2"/>
    <x v="1"/>
    <s v="Pending"/>
    <x v="249"/>
    <x v="0"/>
    <x v="0"/>
    <n v="1967.7149999999999"/>
    <n v="983.85749999999996"/>
    <n v="983.85749999999996"/>
  </r>
  <r>
    <x v="423"/>
    <x v="1"/>
    <d v="2024-02-20T00:00:00"/>
    <d v="2024-03-21T00:00:00"/>
    <n v="1571.77"/>
    <x v="0"/>
    <x v="0"/>
    <s v="Pending"/>
    <x v="250"/>
    <x v="0"/>
    <x v="0"/>
    <n v="1351.7221999999999"/>
    <n v="0"/>
    <n v="1351.7221999999999"/>
  </r>
  <r>
    <x v="424"/>
    <x v="1"/>
    <d v="2023-05-15T00:00:00"/>
    <d v="2023-06-14T00:00:00"/>
    <n v="4241.5600000000004"/>
    <x v="1"/>
    <x v="0"/>
    <s v="Pending"/>
    <x v="251"/>
    <x v="0"/>
    <x v="0"/>
    <n v="5853.3527999999997"/>
    <n v="0"/>
    <n v="5853.3527999999997"/>
  </r>
  <r>
    <x v="425"/>
    <x v="0"/>
    <d v="2023-06-09T00:00:00"/>
    <d v="2023-07-09T00:00:00"/>
    <n v="3066.36"/>
    <x v="1"/>
    <x v="2"/>
    <d v="2023-07-09T00:00:00"/>
    <x v="7"/>
    <x v="1"/>
    <x v="0"/>
    <n v="4231.5767999999998"/>
    <n v="4231.5767999999998"/>
    <n v="0"/>
  </r>
  <r>
    <x v="426"/>
    <x v="2"/>
    <d v="2024-12-27T00:00:00"/>
    <d v="2025-01-26T00:00:00"/>
    <n v="1623.29"/>
    <x v="4"/>
    <x v="1"/>
    <s v="Pending"/>
    <x v="18"/>
    <x v="0"/>
    <x v="0"/>
    <n v="2353.7705000000001"/>
    <n v="1176.88525"/>
    <n v="1176.88525"/>
  </r>
  <r>
    <x v="427"/>
    <x v="0"/>
    <d v="2023-07-08T00:00:00"/>
    <d v="2023-08-07T00:00:00"/>
    <n v="4738.84"/>
    <x v="3"/>
    <x v="1"/>
    <s v="Pending"/>
    <x v="252"/>
    <x v="0"/>
    <x v="0"/>
    <n v="4738.84"/>
    <n v="2369.42"/>
    <n v="2369.42"/>
  </r>
  <r>
    <x v="428"/>
    <x v="0"/>
    <d v="2023-09-10T00:00:00"/>
    <d v="2023-10-10T00:00:00"/>
    <n v="2769.92"/>
    <x v="1"/>
    <x v="1"/>
    <s v="Pending"/>
    <x v="253"/>
    <x v="0"/>
    <x v="0"/>
    <n v="3822.4895999999999"/>
    <n v="1911.2447999999999"/>
    <n v="1911.2447999999999"/>
  </r>
  <r>
    <x v="429"/>
    <x v="0"/>
    <d v="2024-12-15T00:00:00"/>
    <d v="2025-01-14T00:00:00"/>
    <n v="2883.34"/>
    <x v="2"/>
    <x v="0"/>
    <s v="Pending"/>
    <x v="254"/>
    <x v="0"/>
    <x v="0"/>
    <n v="2162.5050000000001"/>
    <n v="0"/>
    <n v="2162.5050000000001"/>
  </r>
  <r>
    <x v="430"/>
    <x v="2"/>
    <d v="2024-06-04T00:00:00"/>
    <d v="2024-07-04T00:00:00"/>
    <n v="2334.1799999999998"/>
    <x v="4"/>
    <x v="0"/>
    <s v="Pending"/>
    <x v="255"/>
    <x v="0"/>
    <x v="0"/>
    <n v="3384.5609999999997"/>
    <n v="0"/>
    <n v="3384.5609999999997"/>
  </r>
  <r>
    <x v="431"/>
    <x v="4"/>
    <d v="2023-10-20T00:00:00"/>
    <d v="2023-11-19T00:00:00"/>
    <n v="3148.17"/>
    <x v="3"/>
    <x v="0"/>
    <s v="Pending"/>
    <x v="256"/>
    <x v="0"/>
    <x v="0"/>
    <n v="3148.17"/>
    <n v="0"/>
    <n v="3148.17"/>
  </r>
  <r>
    <x v="432"/>
    <x v="4"/>
    <d v="2024-10-08T00:00:00"/>
    <d v="2024-11-07T00:00:00"/>
    <n v="1378.14"/>
    <x v="2"/>
    <x v="2"/>
    <d v="2024-11-07T00:00:00"/>
    <x v="7"/>
    <x v="1"/>
    <x v="0"/>
    <n v="1033.605"/>
    <n v="1033.605"/>
    <n v="0"/>
  </r>
  <r>
    <x v="433"/>
    <x v="3"/>
    <d v="2025-02-11T00:00:00"/>
    <d v="2025-03-13T00:00:00"/>
    <n v="275.33999999999997"/>
    <x v="2"/>
    <x v="0"/>
    <s v="Pending"/>
    <x v="257"/>
    <x v="0"/>
    <x v="0"/>
    <n v="206.505"/>
    <n v="0"/>
    <n v="206.505"/>
  </r>
  <r>
    <x v="434"/>
    <x v="0"/>
    <d v="2023-03-31T00:00:00"/>
    <d v="2023-04-30T00:00:00"/>
    <n v="2274.14"/>
    <x v="0"/>
    <x v="1"/>
    <s v="Pending"/>
    <x v="258"/>
    <x v="0"/>
    <x v="0"/>
    <n v="1955.7603999999999"/>
    <n v="977.88019999999995"/>
    <n v="977.88019999999995"/>
  </r>
  <r>
    <x v="435"/>
    <x v="3"/>
    <d v="2023-09-12T00:00:00"/>
    <d v="2023-10-12T00:00:00"/>
    <n v="800.97"/>
    <x v="1"/>
    <x v="2"/>
    <d v="2023-10-12T00:00:00"/>
    <x v="7"/>
    <x v="1"/>
    <x v="0"/>
    <n v="1105.3386"/>
    <n v="1105.3386"/>
    <n v="0"/>
  </r>
  <r>
    <x v="436"/>
    <x v="2"/>
    <d v="2023-02-07T00:00:00"/>
    <d v="2023-03-09T00:00:00"/>
    <n v="2595.11"/>
    <x v="4"/>
    <x v="0"/>
    <s v="Pending"/>
    <x v="259"/>
    <x v="0"/>
    <x v="0"/>
    <n v="3762.9095000000002"/>
    <n v="0"/>
    <n v="3762.9095000000002"/>
  </r>
  <r>
    <x v="437"/>
    <x v="3"/>
    <d v="2023-10-11T00:00:00"/>
    <d v="2023-11-10T00:00:00"/>
    <n v="4967.66"/>
    <x v="3"/>
    <x v="2"/>
    <d v="2023-11-10T00:00:00"/>
    <x v="7"/>
    <x v="1"/>
    <x v="0"/>
    <n v="4967.66"/>
    <n v="4967.66"/>
    <n v="0"/>
  </r>
  <r>
    <x v="438"/>
    <x v="0"/>
    <d v="2024-03-10T00:00:00"/>
    <d v="2024-04-09T00:00:00"/>
    <n v="523.04999999999995"/>
    <x v="0"/>
    <x v="0"/>
    <s v="Pending"/>
    <x v="260"/>
    <x v="0"/>
    <x v="0"/>
    <n v="449.82299999999998"/>
    <n v="0"/>
    <n v="449.82299999999998"/>
  </r>
  <r>
    <x v="439"/>
    <x v="2"/>
    <d v="2023-05-29T00:00:00"/>
    <d v="2023-06-28T00:00:00"/>
    <n v="3485.01"/>
    <x v="0"/>
    <x v="2"/>
    <d v="2023-06-28T00:00:00"/>
    <x v="7"/>
    <x v="1"/>
    <x v="0"/>
    <n v="2997.1086"/>
    <n v="2997.1086"/>
    <n v="0"/>
  </r>
  <r>
    <x v="440"/>
    <x v="1"/>
    <d v="2023-02-04T00:00:00"/>
    <d v="2023-03-06T00:00:00"/>
    <n v="2251.04"/>
    <x v="0"/>
    <x v="2"/>
    <d v="2023-03-06T00:00:00"/>
    <x v="7"/>
    <x v="1"/>
    <x v="0"/>
    <n v="1935.8943999999999"/>
    <n v="1935.8943999999999"/>
    <n v="0"/>
  </r>
  <r>
    <x v="441"/>
    <x v="4"/>
    <d v="2023-10-11T00:00:00"/>
    <d v="2023-11-10T00:00:00"/>
    <n v="3521.51"/>
    <x v="2"/>
    <x v="2"/>
    <d v="2023-11-10T00:00:00"/>
    <x v="7"/>
    <x v="1"/>
    <x v="0"/>
    <n v="2641.1325000000002"/>
    <n v="2641.1325000000002"/>
    <n v="0"/>
  </r>
  <r>
    <x v="442"/>
    <x v="1"/>
    <d v="2025-04-09T00:00:00"/>
    <d v="2025-05-09T00:00:00"/>
    <n v="3808.69"/>
    <x v="1"/>
    <x v="0"/>
    <s v="Pending"/>
    <x v="221"/>
    <x v="2"/>
    <x v="0"/>
    <n v="5255.9921999999997"/>
    <n v="0"/>
    <n v="5255.9921999999997"/>
  </r>
  <r>
    <x v="443"/>
    <x v="2"/>
    <d v="2023-05-17T00:00:00"/>
    <d v="2023-06-16T00:00:00"/>
    <n v="3920.07"/>
    <x v="4"/>
    <x v="2"/>
    <d v="2023-06-16T00:00:00"/>
    <x v="7"/>
    <x v="1"/>
    <x v="0"/>
    <n v="5684.1014999999998"/>
    <n v="5684.1014999999998"/>
    <n v="0"/>
  </r>
  <r>
    <x v="444"/>
    <x v="2"/>
    <d v="2023-03-22T00:00:00"/>
    <d v="2023-04-21T00:00:00"/>
    <n v="4941.76"/>
    <x v="2"/>
    <x v="1"/>
    <s v="Pending"/>
    <x v="261"/>
    <x v="0"/>
    <x v="0"/>
    <n v="3706.32"/>
    <n v="1853.16"/>
    <n v="1853.16"/>
  </r>
  <r>
    <x v="445"/>
    <x v="2"/>
    <d v="2023-11-04T00:00:00"/>
    <d v="2023-12-04T00:00:00"/>
    <n v="1079.6099999999999"/>
    <x v="3"/>
    <x v="0"/>
    <s v="Pending"/>
    <x v="262"/>
    <x v="0"/>
    <x v="0"/>
    <n v="1079.6099999999999"/>
    <n v="0"/>
    <n v="1079.6099999999999"/>
  </r>
  <r>
    <x v="446"/>
    <x v="2"/>
    <d v="2023-05-26T00:00:00"/>
    <d v="2023-06-25T00:00:00"/>
    <n v="4688.33"/>
    <x v="4"/>
    <x v="2"/>
    <d v="2023-06-25T00:00:00"/>
    <x v="7"/>
    <x v="1"/>
    <x v="0"/>
    <n v="6798.0784999999996"/>
    <n v="6798.0784999999996"/>
    <n v="0"/>
  </r>
  <r>
    <x v="447"/>
    <x v="2"/>
    <d v="2023-12-04T00:00:00"/>
    <d v="2024-01-03T00:00:00"/>
    <n v="705.05"/>
    <x v="3"/>
    <x v="1"/>
    <s v="Pending"/>
    <x v="263"/>
    <x v="0"/>
    <x v="0"/>
    <n v="705.05"/>
    <n v="352.52499999999998"/>
    <n v="352.52499999999998"/>
  </r>
  <r>
    <x v="448"/>
    <x v="3"/>
    <d v="2023-05-22T00:00:00"/>
    <d v="2023-06-21T00:00:00"/>
    <n v="1193.94"/>
    <x v="1"/>
    <x v="0"/>
    <s v="Pending"/>
    <x v="51"/>
    <x v="0"/>
    <x v="0"/>
    <n v="1647.6371999999999"/>
    <n v="0"/>
    <n v="1647.6371999999999"/>
  </r>
  <r>
    <x v="449"/>
    <x v="3"/>
    <d v="2024-10-06T00:00:00"/>
    <d v="2024-11-05T00:00:00"/>
    <n v="232.29"/>
    <x v="3"/>
    <x v="2"/>
    <d v="2024-11-05T00:00:00"/>
    <x v="7"/>
    <x v="1"/>
    <x v="0"/>
    <n v="232.29"/>
    <n v="232.29"/>
    <n v="0"/>
  </r>
  <r>
    <x v="450"/>
    <x v="1"/>
    <d v="2024-01-26T00:00:00"/>
    <d v="2024-02-25T00:00:00"/>
    <n v="4202.26"/>
    <x v="0"/>
    <x v="1"/>
    <s v="Pending"/>
    <x v="264"/>
    <x v="0"/>
    <x v="0"/>
    <n v="3613.9436000000001"/>
    <n v="1806.9718"/>
    <n v="1806.9718"/>
  </r>
  <r>
    <x v="451"/>
    <x v="4"/>
    <d v="2024-01-24T00:00:00"/>
    <d v="2024-02-23T00:00:00"/>
    <n v="3696.33"/>
    <x v="4"/>
    <x v="2"/>
    <d v="2024-02-23T00:00:00"/>
    <x v="7"/>
    <x v="1"/>
    <x v="0"/>
    <n v="5359.6785"/>
    <n v="5359.6785"/>
    <n v="0"/>
  </r>
  <r>
    <x v="452"/>
    <x v="3"/>
    <d v="2024-01-28T00:00:00"/>
    <d v="2024-02-27T00:00:00"/>
    <n v="3133.53"/>
    <x v="3"/>
    <x v="2"/>
    <d v="2024-02-27T00:00:00"/>
    <x v="7"/>
    <x v="1"/>
    <x v="0"/>
    <n v="3133.53"/>
    <n v="3133.53"/>
    <n v="0"/>
  </r>
  <r>
    <x v="453"/>
    <x v="0"/>
    <d v="2024-06-17T00:00:00"/>
    <d v="2024-07-17T00:00:00"/>
    <n v="2405.39"/>
    <x v="3"/>
    <x v="2"/>
    <d v="2024-07-17T00:00:00"/>
    <x v="7"/>
    <x v="1"/>
    <x v="0"/>
    <n v="2405.39"/>
    <n v="2405.39"/>
    <n v="0"/>
  </r>
  <r>
    <x v="454"/>
    <x v="3"/>
    <d v="2024-01-11T00:00:00"/>
    <d v="2024-02-10T00:00:00"/>
    <n v="1074.8499999999999"/>
    <x v="3"/>
    <x v="1"/>
    <s v="Pending"/>
    <x v="184"/>
    <x v="0"/>
    <x v="0"/>
    <n v="1074.8499999999999"/>
    <n v="537.42499999999995"/>
    <n v="537.42499999999995"/>
  </r>
  <r>
    <x v="455"/>
    <x v="2"/>
    <d v="2024-12-22T00:00:00"/>
    <d v="2025-01-21T00:00:00"/>
    <n v="3359"/>
    <x v="2"/>
    <x v="0"/>
    <s v="Pending"/>
    <x v="265"/>
    <x v="0"/>
    <x v="0"/>
    <n v="2519.25"/>
    <n v="0"/>
    <n v="2519.25"/>
  </r>
  <r>
    <x v="456"/>
    <x v="4"/>
    <d v="2025-02-12T00:00:00"/>
    <d v="2025-03-14T00:00:00"/>
    <n v="419.58"/>
    <x v="4"/>
    <x v="2"/>
    <d v="2025-03-14T00:00:00"/>
    <x v="7"/>
    <x v="1"/>
    <x v="0"/>
    <n v="608.39099999999996"/>
    <n v="608.39099999999996"/>
    <n v="0"/>
  </r>
  <r>
    <x v="457"/>
    <x v="1"/>
    <d v="2024-03-25T00:00:00"/>
    <d v="2024-04-24T00:00:00"/>
    <n v="1704.27"/>
    <x v="1"/>
    <x v="0"/>
    <s v="Pending"/>
    <x v="266"/>
    <x v="0"/>
    <x v="0"/>
    <n v="2351.8925999999997"/>
    <n v="0"/>
    <n v="2351.8925999999997"/>
  </r>
  <r>
    <x v="458"/>
    <x v="2"/>
    <d v="2024-04-15T00:00:00"/>
    <d v="2024-05-15T00:00:00"/>
    <n v="1545.19"/>
    <x v="2"/>
    <x v="2"/>
    <d v="2024-05-15T00:00:00"/>
    <x v="7"/>
    <x v="1"/>
    <x v="0"/>
    <n v="1158.8924999999999"/>
    <n v="1158.8924999999999"/>
    <n v="0"/>
  </r>
  <r>
    <x v="459"/>
    <x v="2"/>
    <d v="2023-09-29T00:00:00"/>
    <d v="2023-10-29T00:00:00"/>
    <n v="3414.41"/>
    <x v="4"/>
    <x v="1"/>
    <s v="Pending"/>
    <x v="267"/>
    <x v="0"/>
    <x v="0"/>
    <n v="4950.8944999999994"/>
    <n v="2475.4472499999997"/>
    <n v="2475.4472499999997"/>
  </r>
  <r>
    <x v="460"/>
    <x v="0"/>
    <d v="2025-05-02T00:00:00"/>
    <d v="2025-06-01T00:00:00"/>
    <n v="3597.78"/>
    <x v="3"/>
    <x v="1"/>
    <s v="Pending"/>
    <x v="268"/>
    <x v="2"/>
    <x v="0"/>
    <n v="3597.78"/>
    <n v="1798.89"/>
    <n v="1798.89"/>
  </r>
  <r>
    <x v="461"/>
    <x v="1"/>
    <d v="2024-11-03T00:00:00"/>
    <d v="2024-12-03T00:00:00"/>
    <n v="2642.3"/>
    <x v="0"/>
    <x v="0"/>
    <s v="Pending"/>
    <x v="269"/>
    <x v="0"/>
    <x v="0"/>
    <n v="2272.3780000000002"/>
    <n v="0"/>
    <n v="2272.3780000000002"/>
  </r>
  <r>
    <x v="462"/>
    <x v="1"/>
    <d v="2023-02-26T00:00:00"/>
    <d v="2023-03-28T00:00:00"/>
    <n v="4728.07"/>
    <x v="4"/>
    <x v="1"/>
    <s v="Pending"/>
    <x v="270"/>
    <x v="0"/>
    <x v="0"/>
    <n v="6855.7014999999992"/>
    <n v="3427.8507499999996"/>
    <n v="3427.8507499999996"/>
  </r>
  <r>
    <x v="463"/>
    <x v="4"/>
    <d v="2024-11-28T00:00:00"/>
    <d v="2024-12-28T00:00:00"/>
    <n v="1560.4"/>
    <x v="1"/>
    <x v="1"/>
    <s v="Pending"/>
    <x v="271"/>
    <x v="0"/>
    <x v="0"/>
    <n v="2153.3519999999999"/>
    <n v="1076.6759999999999"/>
    <n v="1076.6759999999999"/>
  </r>
  <r>
    <x v="464"/>
    <x v="3"/>
    <d v="2024-03-23T00:00:00"/>
    <d v="2024-04-22T00:00:00"/>
    <n v="2026.99"/>
    <x v="2"/>
    <x v="0"/>
    <s v="Pending"/>
    <x v="272"/>
    <x v="0"/>
    <x v="0"/>
    <n v="1520.2425000000001"/>
    <n v="0"/>
    <n v="1520.2425000000001"/>
  </r>
  <r>
    <x v="465"/>
    <x v="0"/>
    <d v="2024-10-09T00:00:00"/>
    <d v="2024-11-08T00:00:00"/>
    <n v="1142.8399999999999"/>
    <x v="3"/>
    <x v="2"/>
    <d v="2024-11-08T00:00:00"/>
    <x v="7"/>
    <x v="1"/>
    <x v="0"/>
    <n v="1142.8399999999999"/>
    <n v="1142.8399999999999"/>
    <n v="0"/>
  </r>
  <r>
    <x v="466"/>
    <x v="3"/>
    <d v="2024-05-02T00:00:00"/>
    <d v="2024-06-01T00:00:00"/>
    <n v="3401.72"/>
    <x v="2"/>
    <x v="0"/>
    <s v="Pending"/>
    <x v="273"/>
    <x v="0"/>
    <x v="0"/>
    <n v="2551.29"/>
    <n v="0"/>
    <n v="2551.29"/>
  </r>
  <r>
    <x v="467"/>
    <x v="0"/>
    <d v="2023-05-30T00:00:00"/>
    <d v="2023-06-29T00:00:00"/>
    <n v="4753.22"/>
    <x v="2"/>
    <x v="1"/>
    <s v="Pending"/>
    <x v="129"/>
    <x v="0"/>
    <x v="0"/>
    <n v="3564.915"/>
    <n v="1782.4575"/>
    <n v="1782.4575"/>
  </r>
  <r>
    <x v="468"/>
    <x v="0"/>
    <d v="2025-05-12T00:00:00"/>
    <d v="2025-06-11T00:00:00"/>
    <n v="3640.83"/>
    <x v="2"/>
    <x v="1"/>
    <s v="Pending"/>
    <x v="274"/>
    <x v="2"/>
    <x v="0"/>
    <n v="2730.6224999999999"/>
    <n v="1365.31125"/>
    <n v="1365.31125"/>
  </r>
  <r>
    <x v="469"/>
    <x v="1"/>
    <d v="2024-03-07T00:00:00"/>
    <d v="2024-04-06T00:00:00"/>
    <n v="2662.58"/>
    <x v="1"/>
    <x v="1"/>
    <s v="Pending"/>
    <x v="275"/>
    <x v="0"/>
    <x v="0"/>
    <n v="3674.3603999999996"/>
    <n v="1837.1801999999998"/>
    <n v="1837.1801999999998"/>
  </r>
  <r>
    <x v="470"/>
    <x v="0"/>
    <d v="2024-11-23T00:00:00"/>
    <d v="2024-12-23T00:00:00"/>
    <n v="212.92"/>
    <x v="0"/>
    <x v="0"/>
    <s v="Pending"/>
    <x v="276"/>
    <x v="0"/>
    <x v="0"/>
    <n v="183.1112"/>
    <n v="0"/>
    <n v="183.1112"/>
  </r>
  <r>
    <x v="471"/>
    <x v="0"/>
    <d v="2023-11-24T00:00:00"/>
    <d v="2023-12-24T00:00:00"/>
    <n v="980.09"/>
    <x v="2"/>
    <x v="2"/>
    <d v="2023-12-24T00:00:00"/>
    <x v="7"/>
    <x v="1"/>
    <x v="0"/>
    <n v="735.0675"/>
    <n v="735.0675"/>
    <n v="0"/>
  </r>
  <r>
    <x v="472"/>
    <x v="2"/>
    <d v="2023-12-02T00:00:00"/>
    <d v="2024-01-01T00:00:00"/>
    <n v="1179.8800000000001"/>
    <x v="2"/>
    <x v="0"/>
    <s v="Pending"/>
    <x v="277"/>
    <x v="0"/>
    <x v="0"/>
    <n v="884.91000000000008"/>
    <n v="0"/>
    <n v="884.91000000000008"/>
  </r>
  <r>
    <x v="473"/>
    <x v="1"/>
    <d v="2024-02-02T00:00:00"/>
    <d v="2024-03-03T00:00:00"/>
    <n v="1750.63"/>
    <x v="4"/>
    <x v="0"/>
    <s v="Pending"/>
    <x v="278"/>
    <x v="0"/>
    <x v="0"/>
    <n v="2538.4135000000001"/>
    <n v="0"/>
    <n v="2538.4135000000001"/>
  </r>
  <r>
    <x v="474"/>
    <x v="1"/>
    <d v="2024-11-28T00:00:00"/>
    <d v="2024-12-28T00:00:00"/>
    <n v="3207.4"/>
    <x v="4"/>
    <x v="2"/>
    <d v="2024-12-28T00:00:00"/>
    <x v="7"/>
    <x v="1"/>
    <x v="0"/>
    <n v="4650.7299999999996"/>
    <n v="4650.7299999999996"/>
    <n v="0"/>
  </r>
  <r>
    <x v="475"/>
    <x v="1"/>
    <d v="2023-10-30T00:00:00"/>
    <d v="2023-11-29T00:00:00"/>
    <n v="2412.71"/>
    <x v="0"/>
    <x v="2"/>
    <d v="2023-11-29T00:00:00"/>
    <x v="7"/>
    <x v="1"/>
    <x v="0"/>
    <n v="2074.9306000000001"/>
    <n v="2074.9306000000001"/>
    <n v="0"/>
  </r>
  <r>
    <x v="476"/>
    <x v="4"/>
    <d v="2023-11-05T00:00:00"/>
    <d v="2023-12-05T00:00:00"/>
    <n v="382.4"/>
    <x v="3"/>
    <x v="1"/>
    <s v="Pending"/>
    <x v="279"/>
    <x v="0"/>
    <x v="0"/>
    <n v="382.4"/>
    <n v="191.2"/>
    <n v="191.2"/>
  </r>
  <r>
    <x v="477"/>
    <x v="2"/>
    <d v="2023-06-29T00:00:00"/>
    <d v="2023-07-29T00:00:00"/>
    <n v="4004.66"/>
    <x v="1"/>
    <x v="2"/>
    <d v="2023-07-29T00:00:00"/>
    <x v="7"/>
    <x v="1"/>
    <x v="0"/>
    <n v="5526.4307999999992"/>
    <n v="5526.4307999999992"/>
    <n v="0"/>
  </r>
  <r>
    <x v="478"/>
    <x v="3"/>
    <d v="2024-02-20T00:00:00"/>
    <d v="2024-03-21T00:00:00"/>
    <n v="4777.58"/>
    <x v="4"/>
    <x v="0"/>
    <s v="Pending"/>
    <x v="250"/>
    <x v="0"/>
    <x v="0"/>
    <n v="6927.491"/>
    <n v="0"/>
    <n v="6927.491"/>
  </r>
  <r>
    <x v="479"/>
    <x v="1"/>
    <d v="2023-09-16T00:00:00"/>
    <d v="2023-10-16T00:00:00"/>
    <n v="1599.7"/>
    <x v="2"/>
    <x v="1"/>
    <s v="Pending"/>
    <x v="280"/>
    <x v="0"/>
    <x v="0"/>
    <n v="1199.7750000000001"/>
    <n v="599.88750000000005"/>
    <n v="599.88750000000005"/>
  </r>
  <r>
    <x v="480"/>
    <x v="1"/>
    <d v="2025-02-19T00:00:00"/>
    <d v="2025-03-21T00:00:00"/>
    <n v="4973.3"/>
    <x v="3"/>
    <x v="0"/>
    <s v="Pending"/>
    <x v="199"/>
    <x v="0"/>
    <x v="0"/>
    <n v="4973.3"/>
    <n v="0"/>
    <n v="4973.3"/>
  </r>
  <r>
    <x v="481"/>
    <x v="2"/>
    <d v="2023-06-22T00:00:00"/>
    <d v="2023-07-22T00:00:00"/>
    <n v="717.91"/>
    <x v="0"/>
    <x v="0"/>
    <s v="Pending"/>
    <x v="281"/>
    <x v="0"/>
    <x v="0"/>
    <n v="617.40260000000001"/>
    <n v="0"/>
    <n v="617.40260000000001"/>
  </r>
  <r>
    <x v="482"/>
    <x v="3"/>
    <d v="2025-01-27T00:00:00"/>
    <d v="2025-02-26T00:00:00"/>
    <n v="1388.79"/>
    <x v="2"/>
    <x v="2"/>
    <d v="2025-02-26T00:00:00"/>
    <x v="7"/>
    <x v="1"/>
    <x v="0"/>
    <n v="1041.5925"/>
    <n v="1041.5925"/>
    <n v="0"/>
  </r>
  <r>
    <x v="483"/>
    <x v="0"/>
    <d v="2025-06-15T00:00:00"/>
    <d v="2025-07-15T00:00:00"/>
    <n v="669.06"/>
    <x v="2"/>
    <x v="2"/>
    <d v="2025-07-15T00:00:00"/>
    <x v="7"/>
    <x v="1"/>
    <x v="0"/>
    <n v="501.79499999999996"/>
    <n v="501.79499999999996"/>
    <n v="0"/>
  </r>
  <r>
    <x v="484"/>
    <x v="2"/>
    <d v="2023-09-23T00:00:00"/>
    <d v="2023-10-23T00:00:00"/>
    <n v="158.72"/>
    <x v="4"/>
    <x v="2"/>
    <d v="2023-10-23T00:00:00"/>
    <x v="7"/>
    <x v="1"/>
    <x v="0"/>
    <n v="230.14400000000001"/>
    <n v="230.14400000000001"/>
    <n v="0"/>
  </r>
  <r>
    <x v="485"/>
    <x v="4"/>
    <d v="2024-02-24T00:00:00"/>
    <d v="2024-03-25T00:00:00"/>
    <n v="502.65"/>
    <x v="3"/>
    <x v="1"/>
    <s v="Pending"/>
    <x v="282"/>
    <x v="0"/>
    <x v="0"/>
    <n v="502.65"/>
    <n v="251.32499999999999"/>
    <n v="251.32499999999999"/>
  </r>
  <r>
    <x v="486"/>
    <x v="3"/>
    <d v="2023-02-14T00:00:00"/>
    <d v="2023-03-16T00:00:00"/>
    <n v="2135.0100000000002"/>
    <x v="0"/>
    <x v="0"/>
    <s v="Pending"/>
    <x v="283"/>
    <x v="0"/>
    <x v="0"/>
    <n v="1836.1086000000003"/>
    <n v="0"/>
    <n v="1836.1086000000003"/>
  </r>
  <r>
    <x v="487"/>
    <x v="4"/>
    <d v="2023-01-11T00:00:00"/>
    <d v="2023-02-10T00:00:00"/>
    <n v="386.6"/>
    <x v="3"/>
    <x v="1"/>
    <s v="Pending"/>
    <x v="214"/>
    <x v="0"/>
    <x v="0"/>
    <n v="386.6"/>
    <n v="193.3"/>
    <n v="193.3"/>
  </r>
  <r>
    <x v="488"/>
    <x v="3"/>
    <d v="2023-07-24T00:00:00"/>
    <d v="2023-08-23T00:00:00"/>
    <n v="3185.2"/>
    <x v="3"/>
    <x v="0"/>
    <s v="Pending"/>
    <x v="247"/>
    <x v="0"/>
    <x v="0"/>
    <n v="3185.2"/>
    <n v="0"/>
    <n v="3185.2"/>
  </r>
  <r>
    <x v="489"/>
    <x v="3"/>
    <d v="2024-04-05T00:00:00"/>
    <d v="2024-05-05T00:00:00"/>
    <n v="2817.08"/>
    <x v="1"/>
    <x v="1"/>
    <s v="Pending"/>
    <x v="201"/>
    <x v="0"/>
    <x v="0"/>
    <n v="3887.5703999999996"/>
    <n v="1943.7851999999998"/>
    <n v="1943.7851999999998"/>
  </r>
  <r>
    <x v="490"/>
    <x v="4"/>
    <d v="2023-03-06T00:00:00"/>
    <d v="2023-04-05T00:00:00"/>
    <n v="3897.98"/>
    <x v="4"/>
    <x v="2"/>
    <d v="2023-04-05T00:00:00"/>
    <x v="7"/>
    <x v="1"/>
    <x v="0"/>
    <n v="5652.0709999999999"/>
    <n v="5652.0709999999999"/>
    <n v="0"/>
  </r>
  <r>
    <x v="491"/>
    <x v="3"/>
    <d v="2024-12-05T00:00:00"/>
    <d v="2025-01-04T00:00:00"/>
    <n v="3623.95"/>
    <x v="3"/>
    <x v="1"/>
    <s v="Pending"/>
    <x v="94"/>
    <x v="0"/>
    <x v="0"/>
    <n v="3623.95"/>
    <n v="1811.9749999999999"/>
    <n v="1811.9749999999999"/>
  </r>
  <r>
    <x v="492"/>
    <x v="2"/>
    <d v="2024-05-21T00:00:00"/>
    <d v="2024-06-20T00:00:00"/>
    <n v="1803.9"/>
    <x v="3"/>
    <x v="1"/>
    <s v="Pending"/>
    <x v="284"/>
    <x v="0"/>
    <x v="0"/>
    <n v="1803.9"/>
    <n v="901.95"/>
    <n v="901.95"/>
  </r>
  <r>
    <x v="493"/>
    <x v="0"/>
    <d v="2023-06-29T00:00:00"/>
    <d v="2023-07-29T00:00:00"/>
    <n v="2543.84"/>
    <x v="3"/>
    <x v="1"/>
    <s v="Pending"/>
    <x v="285"/>
    <x v="0"/>
    <x v="0"/>
    <n v="2543.84"/>
    <n v="1271.92"/>
    <n v="1271.92"/>
  </r>
  <r>
    <x v="494"/>
    <x v="4"/>
    <d v="2023-07-21T00:00:00"/>
    <d v="2023-08-20T00:00:00"/>
    <n v="292.57"/>
    <x v="1"/>
    <x v="0"/>
    <s v="Pending"/>
    <x v="27"/>
    <x v="0"/>
    <x v="0"/>
    <n v="403.74659999999994"/>
    <n v="0"/>
    <n v="403.74659999999994"/>
  </r>
  <r>
    <x v="495"/>
    <x v="2"/>
    <d v="2024-08-18T00:00:00"/>
    <d v="2024-09-17T00:00:00"/>
    <n v="688.61"/>
    <x v="3"/>
    <x v="2"/>
    <d v="2024-09-17T00:00:00"/>
    <x v="7"/>
    <x v="1"/>
    <x v="0"/>
    <n v="688.61"/>
    <n v="688.61"/>
    <n v="0"/>
  </r>
  <r>
    <x v="496"/>
    <x v="3"/>
    <d v="2023-12-28T00:00:00"/>
    <d v="2024-01-27T00:00:00"/>
    <n v="1121.18"/>
    <x v="3"/>
    <x v="1"/>
    <s v="Pending"/>
    <x v="286"/>
    <x v="0"/>
    <x v="0"/>
    <n v="1121.18"/>
    <n v="560.59"/>
    <n v="560.59"/>
  </r>
  <r>
    <x v="497"/>
    <x v="1"/>
    <d v="2024-04-13T00:00:00"/>
    <d v="2024-05-13T00:00:00"/>
    <n v="3953.98"/>
    <x v="0"/>
    <x v="1"/>
    <s v="Pending"/>
    <x v="206"/>
    <x v="0"/>
    <x v="0"/>
    <n v="3400.4227999999998"/>
    <n v="1700.2113999999999"/>
    <n v="1700.2113999999999"/>
  </r>
  <r>
    <x v="498"/>
    <x v="2"/>
    <d v="2024-02-05T00:00:00"/>
    <d v="2024-03-06T00:00:00"/>
    <n v="597.75"/>
    <x v="3"/>
    <x v="0"/>
    <s v="Pending"/>
    <x v="287"/>
    <x v="0"/>
    <x v="0"/>
    <n v="597.75"/>
    <n v="0"/>
    <n v="597.75"/>
  </r>
  <r>
    <x v="499"/>
    <x v="0"/>
    <d v="2025-01-23T00:00:00"/>
    <d v="2025-02-22T00:00:00"/>
    <n v="1752.55"/>
    <x v="3"/>
    <x v="0"/>
    <s v="Pending"/>
    <x v="288"/>
    <x v="0"/>
    <x v="0"/>
    <n v="1752.55"/>
    <n v="0"/>
    <n v="1752.55"/>
  </r>
  <r>
    <x v="500"/>
    <x v="2"/>
    <d v="2023-03-13T00:00:00"/>
    <d v="2023-04-12T00:00:00"/>
    <n v="3490.73"/>
    <x v="0"/>
    <x v="0"/>
    <s v="Pending"/>
    <x v="121"/>
    <x v="0"/>
    <x v="0"/>
    <n v="3002.0277999999998"/>
    <n v="0"/>
    <n v="3002.0277999999998"/>
  </r>
  <r>
    <x v="501"/>
    <x v="0"/>
    <d v="2024-10-19T00:00:00"/>
    <d v="2024-11-18T00:00:00"/>
    <n v="1143.7"/>
    <x v="4"/>
    <x v="1"/>
    <s v="Pending"/>
    <x v="289"/>
    <x v="0"/>
    <x v="0"/>
    <n v="1658.365"/>
    <n v="829.1825"/>
    <n v="829.1825"/>
  </r>
  <r>
    <x v="502"/>
    <x v="4"/>
    <d v="2024-09-20T00:00:00"/>
    <d v="2024-10-20T00:00:00"/>
    <n v="636.6"/>
    <x v="0"/>
    <x v="2"/>
    <d v="2024-10-20T00:00:00"/>
    <x v="7"/>
    <x v="1"/>
    <x v="0"/>
    <n v="547.476"/>
    <n v="547.476"/>
    <n v="0"/>
  </r>
  <r>
    <x v="503"/>
    <x v="1"/>
    <d v="2025-04-14T00:00:00"/>
    <d v="2025-05-14T00:00:00"/>
    <n v="3339.54"/>
    <x v="0"/>
    <x v="0"/>
    <s v="Pending"/>
    <x v="290"/>
    <x v="2"/>
    <x v="0"/>
    <n v="2872.0043999999998"/>
    <n v="0"/>
    <n v="2872.0043999999998"/>
  </r>
  <r>
    <x v="504"/>
    <x v="0"/>
    <d v="2024-12-15T00:00:00"/>
    <d v="2025-01-14T00:00:00"/>
    <n v="3555.72"/>
    <x v="0"/>
    <x v="1"/>
    <s v="Pending"/>
    <x v="254"/>
    <x v="0"/>
    <x v="0"/>
    <n v="3057.9191999999998"/>
    <n v="1528.9595999999999"/>
    <n v="1528.9595999999999"/>
  </r>
  <r>
    <x v="505"/>
    <x v="2"/>
    <d v="2025-04-30T00:00:00"/>
    <d v="2025-05-30T00:00:00"/>
    <n v="2971.5"/>
    <x v="3"/>
    <x v="0"/>
    <s v="Pending"/>
    <x v="291"/>
    <x v="2"/>
    <x v="0"/>
    <n v="2971.5"/>
    <n v="0"/>
    <n v="2971.5"/>
  </r>
  <r>
    <x v="506"/>
    <x v="0"/>
    <d v="2025-05-09T00:00:00"/>
    <d v="2025-06-08T00:00:00"/>
    <n v="2945.39"/>
    <x v="4"/>
    <x v="2"/>
    <d v="2025-06-08T00:00:00"/>
    <x v="7"/>
    <x v="1"/>
    <x v="0"/>
    <n v="4270.8154999999997"/>
    <n v="4270.8154999999997"/>
    <n v="0"/>
  </r>
  <r>
    <x v="507"/>
    <x v="2"/>
    <d v="2024-06-29T00:00:00"/>
    <d v="2024-07-29T00:00:00"/>
    <n v="4563.8"/>
    <x v="2"/>
    <x v="2"/>
    <d v="2024-07-29T00:00:00"/>
    <x v="7"/>
    <x v="1"/>
    <x v="0"/>
    <n v="3422.8500000000004"/>
    <n v="3422.8500000000004"/>
    <n v="0"/>
  </r>
  <r>
    <x v="508"/>
    <x v="2"/>
    <d v="2023-03-17T00:00:00"/>
    <d v="2023-04-16T00:00:00"/>
    <n v="3590.5"/>
    <x v="4"/>
    <x v="0"/>
    <s v="Pending"/>
    <x v="292"/>
    <x v="0"/>
    <x v="0"/>
    <n v="5206.2249999999995"/>
    <n v="0"/>
    <n v="5206.2249999999995"/>
  </r>
  <r>
    <x v="509"/>
    <x v="2"/>
    <d v="2023-01-22T00:00:00"/>
    <d v="2023-02-21T00:00:00"/>
    <n v="1989.22"/>
    <x v="0"/>
    <x v="1"/>
    <s v="Pending"/>
    <x v="137"/>
    <x v="0"/>
    <x v="0"/>
    <n v="1710.7292"/>
    <n v="855.3646"/>
    <n v="855.3646"/>
  </r>
  <r>
    <x v="510"/>
    <x v="0"/>
    <d v="2023-01-04T00:00:00"/>
    <d v="2023-02-03T00:00:00"/>
    <n v="4650.78"/>
    <x v="1"/>
    <x v="0"/>
    <s v="Pending"/>
    <x v="293"/>
    <x v="0"/>
    <x v="0"/>
    <n v="6418.076399999999"/>
    <n v="0"/>
    <n v="6418.076399999999"/>
  </r>
  <r>
    <x v="511"/>
    <x v="4"/>
    <d v="2023-07-11T00:00:00"/>
    <d v="2023-08-10T00:00:00"/>
    <n v="3071.51"/>
    <x v="1"/>
    <x v="1"/>
    <s v="Pending"/>
    <x v="294"/>
    <x v="0"/>
    <x v="0"/>
    <n v="4238.6837999999998"/>
    <n v="2119.3418999999999"/>
    <n v="2119.3418999999999"/>
  </r>
  <r>
    <x v="512"/>
    <x v="2"/>
    <d v="2023-09-27T00:00:00"/>
    <d v="2023-10-27T00:00:00"/>
    <n v="4956.1099999999997"/>
    <x v="2"/>
    <x v="0"/>
    <s v="Pending"/>
    <x v="295"/>
    <x v="0"/>
    <x v="0"/>
    <n v="3717.0824999999995"/>
    <n v="0"/>
    <n v="3717.0824999999995"/>
  </r>
  <r>
    <x v="513"/>
    <x v="0"/>
    <d v="2024-06-03T00:00:00"/>
    <d v="2024-07-03T00:00:00"/>
    <n v="2561.35"/>
    <x v="4"/>
    <x v="0"/>
    <s v="Pending"/>
    <x v="296"/>
    <x v="0"/>
    <x v="0"/>
    <n v="3713.9574999999995"/>
    <n v="0"/>
    <n v="3713.9574999999995"/>
  </r>
  <r>
    <x v="514"/>
    <x v="2"/>
    <d v="2024-12-11T00:00:00"/>
    <d v="2025-01-10T00:00:00"/>
    <n v="3812.86"/>
    <x v="2"/>
    <x v="0"/>
    <s v="Pending"/>
    <x v="297"/>
    <x v="0"/>
    <x v="0"/>
    <n v="2859.645"/>
    <n v="0"/>
    <n v="2859.645"/>
  </r>
  <r>
    <x v="515"/>
    <x v="1"/>
    <d v="2023-12-31T00:00:00"/>
    <d v="2024-01-30T00:00:00"/>
    <n v="4798.3"/>
    <x v="1"/>
    <x v="0"/>
    <s v="Pending"/>
    <x v="298"/>
    <x v="0"/>
    <x v="0"/>
    <n v="6621.6539999999995"/>
    <n v="0"/>
    <n v="6621.6539999999995"/>
  </r>
  <r>
    <x v="516"/>
    <x v="1"/>
    <d v="2024-09-03T00:00:00"/>
    <d v="2024-10-03T00:00:00"/>
    <n v="2626.26"/>
    <x v="1"/>
    <x v="0"/>
    <s v="Pending"/>
    <x v="299"/>
    <x v="0"/>
    <x v="0"/>
    <n v="3624.2388000000001"/>
    <n v="0"/>
    <n v="3624.2388000000001"/>
  </r>
  <r>
    <x v="517"/>
    <x v="4"/>
    <d v="2023-09-04T00:00:00"/>
    <d v="2023-10-04T00:00:00"/>
    <n v="1667.91"/>
    <x v="1"/>
    <x v="0"/>
    <s v="Pending"/>
    <x v="300"/>
    <x v="0"/>
    <x v="0"/>
    <n v="2301.7157999999999"/>
    <n v="0"/>
    <n v="2301.7157999999999"/>
  </r>
  <r>
    <x v="518"/>
    <x v="0"/>
    <d v="2025-06-17T00:00:00"/>
    <d v="2025-07-17T00:00:00"/>
    <n v="556.64"/>
    <x v="3"/>
    <x v="1"/>
    <s v="Pending"/>
    <x v="301"/>
    <x v="2"/>
    <x v="0"/>
    <n v="556.64"/>
    <n v="278.32"/>
    <n v="278.32"/>
  </r>
  <r>
    <x v="519"/>
    <x v="3"/>
    <d v="2025-01-14T00:00:00"/>
    <d v="2025-02-13T00:00:00"/>
    <n v="2084.02"/>
    <x v="0"/>
    <x v="1"/>
    <s v="Pending"/>
    <x v="302"/>
    <x v="0"/>
    <x v="0"/>
    <n v="1792.2572"/>
    <n v="896.12860000000001"/>
    <n v="896.12860000000001"/>
  </r>
  <r>
    <x v="520"/>
    <x v="4"/>
    <d v="2024-02-26T00:00:00"/>
    <d v="2024-03-27T00:00:00"/>
    <n v="1225.05"/>
    <x v="2"/>
    <x v="1"/>
    <s v="Pending"/>
    <x v="303"/>
    <x v="0"/>
    <x v="0"/>
    <n v="918.78749999999991"/>
    <n v="459.39374999999995"/>
    <n v="459.39374999999995"/>
  </r>
  <r>
    <x v="521"/>
    <x v="1"/>
    <d v="2023-01-11T00:00:00"/>
    <d v="2023-02-10T00:00:00"/>
    <n v="1607.66"/>
    <x v="4"/>
    <x v="1"/>
    <s v="Pending"/>
    <x v="214"/>
    <x v="0"/>
    <x v="0"/>
    <n v="2331.107"/>
    <n v="1165.5535"/>
    <n v="1165.5535"/>
  </r>
  <r>
    <x v="522"/>
    <x v="0"/>
    <d v="2024-06-09T00:00:00"/>
    <d v="2024-07-09T00:00:00"/>
    <n v="2772.97"/>
    <x v="2"/>
    <x v="2"/>
    <d v="2024-07-09T00:00:00"/>
    <x v="7"/>
    <x v="1"/>
    <x v="0"/>
    <n v="2079.7275"/>
    <n v="2079.7275"/>
    <n v="0"/>
  </r>
  <r>
    <x v="523"/>
    <x v="3"/>
    <d v="2024-10-31T00:00:00"/>
    <d v="2024-11-30T00:00:00"/>
    <n v="1641.38"/>
    <x v="4"/>
    <x v="1"/>
    <s v="Pending"/>
    <x v="304"/>
    <x v="0"/>
    <x v="0"/>
    <n v="2380.0010000000002"/>
    <n v="1190.0005000000001"/>
    <n v="1190.0005000000001"/>
  </r>
  <r>
    <x v="524"/>
    <x v="2"/>
    <d v="2024-09-04T00:00:00"/>
    <d v="2024-10-04T00:00:00"/>
    <n v="549.14"/>
    <x v="4"/>
    <x v="2"/>
    <d v="2024-10-04T00:00:00"/>
    <x v="7"/>
    <x v="1"/>
    <x v="0"/>
    <n v="796.25299999999993"/>
    <n v="796.25299999999993"/>
    <n v="0"/>
  </r>
  <r>
    <x v="525"/>
    <x v="4"/>
    <d v="2024-09-23T00:00:00"/>
    <d v="2024-10-23T00:00:00"/>
    <n v="3700.73"/>
    <x v="2"/>
    <x v="0"/>
    <s v="Pending"/>
    <x v="305"/>
    <x v="0"/>
    <x v="0"/>
    <n v="2775.5475000000001"/>
    <n v="0"/>
    <n v="2775.5475000000001"/>
  </r>
  <r>
    <x v="526"/>
    <x v="4"/>
    <d v="2024-01-24T00:00:00"/>
    <d v="2024-02-23T00:00:00"/>
    <n v="1616.2"/>
    <x v="1"/>
    <x v="1"/>
    <s v="Pending"/>
    <x v="153"/>
    <x v="0"/>
    <x v="0"/>
    <n v="2230.3559999999998"/>
    <n v="1115.1779999999999"/>
    <n v="1115.1779999999999"/>
  </r>
  <r>
    <x v="527"/>
    <x v="0"/>
    <d v="2025-03-02T00:00:00"/>
    <d v="2025-04-01T00:00:00"/>
    <n v="233.75"/>
    <x v="0"/>
    <x v="1"/>
    <s v="Pending"/>
    <x v="306"/>
    <x v="2"/>
    <x v="0"/>
    <n v="201.02500000000001"/>
    <n v="100.5125"/>
    <n v="100.5125"/>
  </r>
  <r>
    <x v="528"/>
    <x v="0"/>
    <d v="2024-10-16T00:00:00"/>
    <d v="2024-11-15T00:00:00"/>
    <n v="1198.76"/>
    <x v="4"/>
    <x v="1"/>
    <s v="Pending"/>
    <x v="182"/>
    <x v="0"/>
    <x v="0"/>
    <n v="1738.202"/>
    <n v="869.101"/>
    <n v="869.101"/>
  </r>
  <r>
    <x v="529"/>
    <x v="4"/>
    <d v="2025-06-18T00:00:00"/>
    <d v="2025-07-18T00:00:00"/>
    <n v="1819.59"/>
    <x v="2"/>
    <x v="1"/>
    <s v="Pending"/>
    <x v="307"/>
    <x v="2"/>
    <x v="0"/>
    <n v="1364.6924999999999"/>
    <n v="682.34624999999994"/>
    <n v="682.34624999999994"/>
  </r>
  <r>
    <x v="530"/>
    <x v="4"/>
    <d v="2025-02-02T00:00:00"/>
    <d v="2025-03-04T00:00:00"/>
    <n v="3747.3"/>
    <x v="1"/>
    <x v="2"/>
    <d v="2025-03-04T00:00:00"/>
    <x v="7"/>
    <x v="1"/>
    <x v="0"/>
    <n v="5171.2739999999994"/>
    <n v="5171.2739999999994"/>
    <n v="0"/>
  </r>
  <r>
    <x v="531"/>
    <x v="1"/>
    <d v="2023-08-16T00:00:00"/>
    <d v="2023-09-15T00:00:00"/>
    <n v="4706.8100000000004"/>
    <x v="0"/>
    <x v="2"/>
    <d v="2023-09-15T00:00:00"/>
    <x v="7"/>
    <x v="1"/>
    <x v="0"/>
    <n v="4047.8566000000001"/>
    <n v="4047.8566000000001"/>
    <n v="0"/>
  </r>
  <r>
    <x v="532"/>
    <x v="3"/>
    <d v="2025-05-05T00:00:00"/>
    <d v="2025-06-04T00:00:00"/>
    <n v="2329.4299999999998"/>
    <x v="1"/>
    <x v="1"/>
    <s v="Pending"/>
    <x v="91"/>
    <x v="2"/>
    <x v="0"/>
    <n v="3214.6133999999997"/>
    <n v="1607.3066999999999"/>
    <n v="1607.3066999999999"/>
  </r>
  <r>
    <x v="533"/>
    <x v="2"/>
    <d v="2024-08-12T00:00:00"/>
    <d v="2024-09-11T00:00:00"/>
    <n v="3499.14"/>
    <x v="2"/>
    <x v="1"/>
    <s v="Pending"/>
    <x v="308"/>
    <x v="0"/>
    <x v="0"/>
    <n v="2624.355"/>
    <n v="1312.1775"/>
    <n v="1312.1775"/>
  </r>
  <r>
    <x v="534"/>
    <x v="3"/>
    <d v="2023-08-08T00:00:00"/>
    <d v="2023-09-07T00:00:00"/>
    <n v="3732.67"/>
    <x v="2"/>
    <x v="2"/>
    <d v="2023-09-07T00:00:00"/>
    <x v="7"/>
    <x v="1"/>
    <x v="0"/>
    <n v="2799.5025000000001"/>
    <n v="2799.5025000000001"/>
    <n v="0"/>
  </r>
  <r>
    <x v="535"/>
    <x v="3"/>
    <d v="2024-09-07T00:00:00"/>
    <d v="2024-10-07T00:00:00"/>
    <n v="365.59"/>
    <x v="1"/>
    <x v="0"/>
    <s v="Pending"/>
    <x v="309"/>
    <x v="0"/>
    <x v="0"/>
    <n v="504.5141999999999"/>
    <n v="0"/>
    <n v="504.5141999999999"/>
  </r>
  <r>
    <x v="536"/>
    <x v="4"/>
    <d v="2024-04-01T00:00:00"/>
    <d v="2024-05-01T00:00:00"/>
    <n v="3778.67"/>
    <x v="0"/>
    <x v="0"/>
    <s v="Pending"/>
    <x v="310"/>
    <x v="0"/>
    <x v="0"/>
    <n v="3249.6561999999999"/>
    <n v="0"/>
    <n v="3249.6561999999999"/>
  </r>
  <r>
    <x v="537"/>
    <x v="2"/>
    <d v="2024-04-15T00:00:00"/>
    <d v="2024-05-15T00:00:00"/>
    <n v="4324.6400000000003"/>
    <x v="0"/>
    <x v="1"/>
    <s v="Pending"/>
    <x v="311"/>
    <x v="0"/>
    <x v="0"/>
    <n v="3719.1904000000004"/>
    <n v="1859.5952000000002"/>
    <n v="1859.5952000000002"/>
  </r>
  <r>
    <x v="538"/>
    <x v="4"/>
    <d v="2024-07-27T00:00:00"/>
    <d v="2024-08-26T00:00:00"/>
    <n v="3648.16"/>
    <x v="1"/>
    <x v="2"/>
    <d v="2024-08-26T00:00:00"/>
    <x v="7"/>
    <x v="1"/>
    <x v="0"/>
    <n v="5034.4607999999998"/>
    <n v="5034.4607999999998"/>
    <n v="0"/>
  </r>
  <r>
    <x v="539"/>
    <x v="1"/>
    <d v="2025-03-11T00:00:00"/>
    <d v="2025-04-10T00:00:00"/>
    <n v="106.75"/>
    <x v="4"/>
    <x v="2"/>
    <d v="2025-04-10T00:00:00"/>
    <x v="7"/>
    <x v="1"/>
    <x v="0"/>
    <n v="154.78749999999999"/>
    <n v="154.78749999999999"/>
    <n v="0"/>
  </r>
  <r>
    <x v="540"/>
    <x v="1"/>
    <d v="2023-01-21T00:00:00"/>
    <d v="2023-02-20T00:00:00"/>
    <n v="2259.02"/>
    <x v="1"/>
    <x v="1"/>
    <s v="Pending"/>
    <x v="312"/>
    <x v="0"/>
    <x v="0"/>
    <n v="3117.4475999999995"/>
    <n v="1558.7237999999998"/>
    <n v="1558.7237999999998"/>
  </r>
  <r>
    <x v="541"/>
    <x v="3"/>
    <d v="2023-01-15T00:00:00"/>
    <d v="2023-02-14T00:00:00"/>
    <n v="2046.68"/>
    <x v="1"/>
    <x v="0"/>
    <s v="Pending"/>
    <x v="313"/>
    <x v="0"/>
    <x v="0"/>
    <n v="2824.4184"/>
    <n v="0"/>
    <n v="2824.4184"/>
  </r>
  <r>
    <x v="542"/>
    <x v="3"/>
    <d v="2025-05-05T00:00:00"/>
    <d v="2025-06-04T00:00:00"/>
    <n v="3776.36"/>
    <x v="2"/>
    <x v="2"/>
    <d v="2025-06-04T00:00:00"/>
    <x v="7"/>
    <x v="1"/>
    <x v="0"/>
    <n v="2832.27"/>
    <n v="2832.27"/>
    <n v="0"/>
  </r>
  <r>
    <x v="543"/>
    <x v="1"/>
    <d v="2025-06-07T00:00:00"/>
    <d v="2025-07-07T00:00:00"/>
    <n v="2839.95"/>
    <x v="0"/>
    <x v="2"/>
    <d v="2025-07-07T00:00:00"/>
    <x v="7"/>
    <x v="1"/>
    <x v="0"/>
    <n v="2442.357"/>
    <n v="2442.357"/>
    <n v="0"/>
  </r>
  <r>
    <x v="544"/>
    <x v="1"/>
    <d v="2023-07-15T00:00:00"/>
    <d v="2023-08-14T00:00:00"/>
    <n v="2261.9499999999998"/>
    <x v="2"/>
    <x v="0"/>
    <s v="Pending"/>
    <x v="314"/>
    <x v="0"/>
    <x v="0"/>
    <n v="1696.4624999999999"/>
    <n v="0"/>
    <n v="1696.4624999999999"/>
  </r>
  <r>
    <x v="545"/>
    <x v="1"/>
    <d v="2025-01-29T00:00:00"/>
    <d v="2025-02-28T00:00:00"/>
    <n v="104.02"/>
    <x v="0"/>
    <x v="1"/>
    <s v="Pending"/>
    <x v="170"/>
    <x v="0"/>
    <x v="0"/>
    <n v="89.4572"/>
    <n v="44.7286"/>
    <n v="44.7286"/>
  </r>
  <r>
    <x v="546"/>
    <x v="4"/>
    <d v="2025-06-10T00:00:00"/>
    <d v="2025-07-10T00:00:00"/>
    <n v="3899.93"/>
    <x v="2"/>
    <x v="1"/>
    <s v="Pending"/>
    <x v="315"/>
    <x v="2"/>
    <x v="0"/>
    <n v="2924.9474999999998"/>
    <n v="1462.4737499999999"/>
    <n v="1462.4737499999999"/>
  </r>
  <r>
    <x v="547"/>
    <x v="3"/>
    <d v="2024-07-03T00:00:00"/>
    <d v="2024-08-02T00:00:00"/>
    <n v="276.7"/>
    <x v="0"/>
    <x v="0"/>
    <s v="Pending"/>
    <x v="316"/>
    <x v="0"/>
    <x v="0"/>
    <n v="237.96199999999999"/>
    <n v="0"/>
    <n v="237.96199999999999"/>
  </r>
  <r>
    <x v="548"/>
    <x v="0"/>
    <d v="2023-06-19T00:00:00"/>
    <d v="2023-07-19T00:00:00"/>
    <n v="4610.3100000000004"/>
    <x v="3"/>
    <x v="1"/>
    <s v="Pending"/>
    <x v="317"/>
    <x v="0"/>
    <x v="0"/>
    <n v="4610.3100000000004"/>
    <n v="2305.1550000000002"/>
    <n v="2305.1550000000002"/>
  </r>
  <r>
    <x v="549"/>
    <x v="2"/>
    <d v="2025-06-04T00:00:00"/>
    <d v="2025-07-04T00:00:00"/>
    <n v="1285.1300000000001"/>
    <x v="2"/>
    <x v="2"/>
    <d v="2025-07-04T00:00:00"/>
    <x v="7"/>
    <x v="1"/>
    <x v="0"/>
    <n v="963.84750000000008"/>
    <n v="963.84750000000008"/>
    <n v="0"/>
  </r>
  <r>
    <x v="550"/>
    <x v="4"/>
    <d v="2023-05-23T00:00:00"/>
    <d v="2023-06-22T00:00:00"/>
    <n v="3752.28"/>
    <x v="2"/>
    <x v="1"/>
    <s v="Pending"/>
    <x v="189"/>
    <x v="0"/>
    <x v="0"/>
    <n v="2814.21"/>
    <n v="1407.105"/>
    <n v="1407.105"/>
  </r>
  <r>
    <x v="551"/>
    <x v="1"/>
    <d v="2023-11-04T00:00:00"/>
    <d v="2023-12-04T00:00:00"/>
    <n v="3746.16"/>
    <x v="2"/>
    <x v="0"/>
    <s v="Pending"/>
    <x v="262"/>
    <x v="0"/>
    <x v="0"/>
    <n v="2809.62"/>
    <n v="0"/>
    <n v="2809.62"/>
  </r>
  <r>
    <x v="552"/>
    <x v="0"/>
    <d v="2024-12-18T00:00:00"/>
    <d v="2025-01-17T00:00:00"/>
    <n v="4464.8999999999996"/>
    <x v="3"/>
    <x v="2"/>
    <d v="2025-01-17T00:00:00"/>
    <x v="7"/>
    <x v="1"/>
    <x v="0"/>
    <n v="4464.8999999999996"/>
    <n v="4464.8999999999996"/>
    <n v="0"/>
  </r>
  <r>
    <x v="553"/>
    <x v="4"/>
    <d v="2024-06-28T00:00:00"/>
    <d v="2024-07-28T00:00:00"/>
    <n v="4957.1499999999996"/>
    <x v="3"/>
    <x v="0"/>
    <s v="Pending"/>
    <x v="318"/>
    <x v="0"/>
    <x v="0"/>
    <n v="4957.1499999999996"/>
    <n v="0"/>
    <n v="4957.1499999999996"/>
  </r>
  <r>
    <x v="554"/>
    <x v="3"/>
    <d v="2024-07-30T00:00:00"/>
    <d v="2024-08-29T00:00:00"/>
    <n v="129.91"/>
    <x v="2"/>
    <x v="0"/>
    <s v="Pending"/>
    <x v="319"/>
    <x v="0"/>
    <x v="0"/>
    <n v="97.432500000000005"/>
    <n v="0"/>
    <n v="97.432500000000005"/>
  </r>
  <r>
    <x v="555"/>
    <x v="1"/>
    <d v="2023-06-03T00:00:00"/>
    <d v="2023-07-03T00:00:00"/>
    <n v="4151.46"/>
    <x v="4"/>
    <x v="2"/>
    <d v="2023-07-03T00:00:00"/>
    <x v="7"/>
    <x v="1"/>
    <x v="0"/>
    <n v="6019.6170000000002"/>
    <n v="6019.6170000000002"/>
    <n v="0"/>
  </r>
  <r>
    <x v="556"/>
    <x v="4"/>
    <d v="2024-02-23T00:00:00"/>
    <d v="2024-03-24T00:00:00"/>
    <n v="4386"/>
    <x v="4"/>
    <x v="0"/>
    <s v="Pending"/>
    <x v="105"/>
    <x v="0"/>
    <x v="0"/>
    <n v="6359.7"/>
    <n v="0"/>
    <n v="6359.7"/>
  </r>
  <r>
    <x v="557"/>
    <x v="3"/>
    <d v="2024-06-09T00:00:00"/>
    <d v="2024-07-09T00:00:00"/>
    <n v="2792.29"/>
    <x v="4"/>
    <x v="2"/>
    <d v="2024-07-09T00:00:00"/>
    <x v="7"/>
    <x v="1"/>
    <x v="0"/>
    <n v="4048.8204999999998"/>
    <n v="4048.8204999999998"/>
    <n v="0"/>
  </r>
  <r>
    <x v="558"/>
    <x v="4"/>
    <d v="2025-03-22T00:00:00"/>
    <d v="2025-04-21T00:00:00"/>
    <n v="2307.9"/>
    <x v="2"/>
    <x v="0"/>
    <s v="Pending"/>
    <x v="320"/>
    <x v="2"/>
    <x v="0"/>
    <n v="1730.9250000000002"/>
    <n v="0"/>
    <n v="1730.9250000000002"/>
  </r>
  <r>
    <x v="559"/>
    <x v="0"/>
    <d v="2024-09-02T00:00:00"/>
    <d v="2024-10-02T00:00:00"/>
    <n v="1432.07"/>
    <x v="4"/>
    <x v="2"/>
    <d v="2024-10-02T00:00:00"/>
    <x v="7"/>
    <x v="1"/>
    <x v="0"/>
    <n v="2076.5014999999999"/>
    <n v="2076.5014999999999"/>
    <n v="0"/>
  </r>
  <r>
    <x v="560"/>
    <x v="3"/>
    <d v="2024-06-29T00:00:00"/>
    <d v="2024-07-29T00:00:00"/>
    <n v="2127.41"/>
    <x v="3"/>
    <x v="0"/>
    <s v="Pending"/>
    <x v="321"/>
    <x v="0"/>
    <x v="0"/>
    <n v="2127.41"/>
    <n v="0"/>
    <n v="2127.41"/>
  </r>
  <r>
    <x v="561"/>
    <x v="2"/>
    <d v="2024-11-27T00:00:00"/>
    <d v="2024-12-27T00:00:00"/>
    <n v="254.96"/>
    <x v="2"/>
    <x v="2"/>
    <d v="2024-12-27T00:00:00"/>
    <x v="7"/>
    <x v="1"/>
    <x v="0"/>
    <n v="191.22"/>
    <n v="191.22"/>
    <n v="0"/>
  </r>
  <r>
    <x v="562"/>
    <x v="3"/>
    <d v="2023-08-22T00:00:00"/>
    <d v="2023-09-21T00:00:00"/>
    <n v="2704.91"/>
    <x v="4"/>
    <x v="0"/>
    <s v="Pending"/>
    <x v="322"/>
    <x v="0"/>
    <x v="0"/>
    <n v="3922.1194999999998"/>
    <n v="0"/>
    <n v="3922.1194999999998"/>
  </r>
  <r>
    <x v="563"/>
    <x v="2"/>
    <d v="2024-05-26T00:00:00"/>
    <d v="2024-06-25T00:00:00"/>
    <n v="1222.6300000000001"/>
    <x v="1"/>
    <x v="2"/>
    <d v="2024-06-25T00:00:00"/>
    <x v="7"/>
    <x v="1"/>
    <x v="0"/>
    <n v="1687.2293999999999"/>
    <n v="1687.2293999999999"/>
    <n v="0"/>
  </r>
  <r>
    <x v="564"/>
    <x v="1"/>
    <d v="2023-01-25T00:00:00"/>
    <d v="2023-02-24T00:00:00"/>
    <n v="2660.77"/>
    <x v="3"/>
    <x v="1"/>
    <s v="Pending"/>
    <x v="323"/>
    <x v="0"/>
    <x v="0"/>
    <n v="2660.77"/>
    <n v="1330.385"/>
    <n v="1330.385"/>
  </r>
  <r>
    <x v="565"/>
    <x v="3"/>
    <d v="2023-07-13T00:00:00"/>
    <d v="2023-08-12T00:00:00"/>
    <n v="1359"/>
    <x v="0"/>
    <x v="0"/>
    <s v="Pending"/>
    <x v="324"/>
    <x v="0"/>
    <x v="0"/>
    <n v="1168.74"/>
    <n v="0"/>
    <n v="1168.74"/>
  </r>
  <r>
    <x v="566"/>
    <x v="3"/>
    <d v="2023-09-13T00:00:00"/>
    <d v="2023-10-13T00:00:00"/>
    <n v="1597.59"/>
    <x v="0"/>
    <x v="2"/>
    <d v="2023-10-13T00:00:00"/>
    <x v="7"/>
    <x v="1"/>
    <x v="0"/>
    <n v="1373.9273999999998"/>
    <n v="1373.9273999999998"/>
    <n v="0"/>
  </r>
  <r>
    <x v="567"/>
    <x v="0"/>
    <d v="2023-03-12T00:00:00"/>
    <d v="2023-04-11T00:00:00"/>
    <n v="4456.2"/>
    <x v="1"/>
    <x v="1"/>
    <s v="Pending"/>
    <x v="325"/>
    <x v="0"/>
    <x v="0"/>
    <n v="6149.5559999999996"/>
    <n v="3074.7779999999998"/>
    <n v="3074.7779999999998"/>
  </r>
  <r>
    <x v="568"/>
    <x v="4"/>
    <d v="2024-10-22T00:00:00"/>
    <d v="2024-11-21T00:00:00"/>
    <n v="583.61"/>
    <x v="2"/>
    <x v="1"/>
    <s v="Pending"/>
    <x v="326"/>
    <x v="0"/>
    <x v="0"/>
    <n v="437.70749999999998"/>
    <n v="218.85374999999999"/>
    <n v="218.85374999999999"/>
  </r>
  <r>
    <x v="569"/>
    <x v="4"/>
    <d v="2024-08-07T00:00:00"/>
    <d v="2024-09-06T00:00:00"/>
    <n v="3912.65"/>
    <x v="3"/>
    <x v="1"/>
    <s v="Pending"/>
    <x v="198"/>
    <x v="0"/>
    <x v="0"/>
    <n v="3912.65"/>
    <n v="1956.325"/>
    <n v="1956.325"/>
  </r>
  <r>
    <x v="570"/>
    <x v="3"/>
    <d v="2023-05-24T00:00:00"/>
    <d v="2023-06-23T00:00:00"/>
    <n v="2835.21"/>
    <x v="3"/>
    <x v="2"/>
    <d v="2023-06-23T00:00:00"/>
    <x v="7"/>
    <x v="1"/>
    <x v="0"/>
    <n v="2835.21"/>
    <n v="2835.21"/>
    <n v="0"/>
  </r>
  <r>
    <x v="571"/>
    <x v="3"/>
    <d v="2024-06-18T00:00:00"/>
    <d v="2024-07-18T00:00:00"/>
    <n v="865.54"/>
    <x v="0"/>
    <x v="1"/>
    <s v="Pending"/>
    <x v="327"/>
    <x v="0"/>
    <x v="0"/>
    <n v="744.36439999999993"/>
    <n v="372.18219999999997"/>
    <n v="372.18219999999997"/>
  </r>
  <r>
    <x v="572"/>
    <x v="3"/>
    <d v="2024-06-12T00:00:00"/>
    <d v="2024-07-12T00:00:00"/>
    <n v="3671.15"/>
    <x v="2"/>
    <x v="1"/>
    <s v="Pending"/>
    <x v="328"/>
    <x v="0"/>
    <x v="0"/>
    <n v="2753.3625000000002"/>
    <n v="1376.6812500000001"/>
    <n v="1376.6812500000001"/>
  </r>
  <r>
    <x v="573"/>
    <x v="2"/>
    <d v="2025-04-28T00:00:00"/>
    <d v="2025-05-28T00:00:00"/>
    <n v="2131.81"/>
    <x v="3"/>
    <x v="2"/>
    <d v="2025-05-28T00:00:00"/>
    <x v="7"/>
    <x v="1"/>
    <x v="0"/>
    <n v="2131.81"/>
    <n v="2131.81"/>
    <n v="0"/>
  </r>
  <r>
    <x v="574"/>
    <x v="1"/>
    <d v="2024-11-20T00:00:00"/>
    <d v="2024-12-20T00:00:00"/>
    <n v="4512.54"/>
    <x v="4"/>
    <x v="1"/>
    <s v="Pending"/>
    <x v="233"/>
    <x v="0"/>
    <x v="0"/>
    <n v="6543.183"/>
    <n v="3271.5915"/>
    <n v="3271.5915"/>
  </r>
  <r>
    <x v="575"/>
    <x v="0"/>
    <d v="2024-07-18T00:00:00"/>
    <d v="2024-08-17T00:00:00"/>
    <n v="4516.3100000000004"/>
    <x v="3"/>
    <x v="0"/>
    <s v="Pending"/>
    <x v="141"/>
    <x v="0"/>
    <x v="0"/>
    <n v="4516.3100000000004"/>
    <n v="0"/>
    <n v="4516.3100000000004"/>
  </r>
  <r>
    <x v="576"/>
    <x v="1"/>
    <d v="2024-09-19T00:00:00"/>
    <d v="2024-10-19T00:00:00"/>
    <n v="1978.27"/>
    <x v="3"/>
    <x v="2"/>
    <d v="2024-10-19T00:00:00"/>
    <x v="7"/>
    <x v="1"/>
    <x v="0"/>
    <n v="1978.27"/>
    <n v="1978.27"/>
    <n v="0"/>
  </r>
  <r>
    <x v="577"/>
    <x v="2"/>
    <d v="2024-05-05T00:00:00"/>
    <d v="2024-06-04T00:00:00"/>
    <n v="1703.15"/>
    <x v="2"/>
    <x v="2"/>
    <d v="2024-06-04T00:00:00"/>
    <x v="7"/>
    <x v="1"/>
    <x v="0"/>
    <n v="1277.3625000000002"/>
    <n v="1277.3625000000002"/>
    <n v="0"/>
  </r>
  <r>
    <x v="578"/>
    <x v="0"/>
    <d v="2023-12-27T00:00:00"/>
    <d v="2024-01-26T00:00:00"/>
    <n v="765.18"/>
    <x v="3"/>
    <x v="0"/>
    <s v="Pending"/>
    <x v="329"/>
    <x v="0"/>
    <x v="0"/>
    <n v="765.18"/>
    <n v="0"/>
    <n v="765.18"/>
  </r>
  <r>
    <x v="579"/>
    <x v="1"/>
    <d v="2023-03-07T00:00:00"/>
    <d v="2023-04-06T00:00:00"/>
    <n v="4823.6099999999997"/>
    <x v="4"/>
    <x v="0"/>
    <s v="Pending"/>
    <x v="330"/>
    <x v="0"/>
    <x v="0"/>
    <n v="6994.2344999999996"/>
    <n v="0"/>
    <n v="6994.2344999999996"/>
  </r>
  <r>
    <x v="580"/>
    <x v="4"/>
    <d v="2025-06-05T00:00:00"/>
    <d v="2025-07-05T00:00:00"/>
    <n v="929.8"/>
    <x v="3"/>
    <x v="2"/>
    <d v="2025-07-05T00:00:00"/>
    <x v="7"/>
    <x v="1"/>
    <x v="0"/>
    <n v="929.8"/>
    <n v="929.8"/>
    <n v="0"/>
  </r>
  <r>
    <x v="581"/>
    <x v="3"/>
    <d v="2024-02-27T00:00:00"/>
    <d v="2024-03-28T00:00:00"/>
    <n v="4543.1099999999997"/>
    <x v="3"/>
    <x v="2"/>
    <d v="2024-03-28T00:00:00"/>
    <x v="7"/>
    <x v="1"/>
    <x v="0"/>
    <n v="4543.1099999999997"/>
    <n v="4543.1099999999997"/>
    <n v="0"/>
  </r>
  <r>
    <x v="582"/>
    <x v="0"/>
    <d v="2024-03-03T00:00:00"/>
    <d v="2024-04-02T00:00:00"/>
    <n v="3165.91"/>
    <x v="4"/>
    <x v="1"/>
    <s v="Pending"/>
    <x v="331"/>
    <x v="0"/>
    <x v="0"/>
    <n v="4590.5694999999996"/>
    <n v="2295.2847499999998"/>
    <n v="2295.2847499999998"/>
  </r>
  <r>
    <x v="583"/>
    <x v="4"/>
    <d v="2025-04-02T00:00:00"/>
    <d v="2025-05-02T00:00:00"/>
    <n v="674.53"/>
    <x v="3"/>
    <x v="1"/>
    <s v="Pending"/>
    <x v="332"/>
    <x v="2"/>
    <x v="0"/>
    <n v="674.53"/>
    <n v="337.26499999999999"/>
    <n v="337.26499999999999"/>
  </r>
  <r>
    <x v="584"/>
    <x v="0"/>
    <d v="2024-02-20T00:00:00"/>
    <d v="2024-03-21T00:00:00"/>
    <n v="860.37"/>
    <x v="0"/>
    <x v="2"/>
    <d v="2024-03-21T00:00:00"/>
    <x v="7"/>
    <x v="1"/>
    <x v="0"/>
    <n v="739.91819999999996"/>
    <n v="739.91819999999996"/>
    <n v="0"/>
  </r>
  <r>
    <x v="585"/>
    <x v="0"/>
    <d v="2023-01-27T00:00:00"/>
    <d v="2023-02-26T00:00:00"/>
    <n v="1506.08"/>
    <x v="0"/>
    <x v="1"/>
    <s v="Pending"/>
    <x v="333"/>
    <x v="0"/>
    <x v="0"/>
    <n v="1295.2287999999999"/>
    <n v="647.61439999999993"/>
    <n v="647.61439999999993"/>
  </r>
  <r>
    <x v="586"/>
    <x v="3"/>
    <d v="2023-08-25T00:00:00"/>
    <d v="2023-09-24T00:00:00"/>
    <n v="1413.73"/>
    <x v="4"/>
    <x v="0"/>
    <s v="Pending"/>
    <x v="334"/>
    <x v="0"/>
    <x v="0"/>
    <n v="2049.9085"/>
    <n v="0"/>
    <n v="2049.9085"/>
  </r>
  <r>
    <x v="587"/>
    <x v="2"/>
    <d v="2023-10-31T00:00:00"/>
    <d v="2023-11-30T00:00:00"/>
    <n v="3386.32"/>
    <x v="0"/>
    <x v="2"/>
    <d v="2023-11-30T00:00:00"/>
    <x v="7"/>
    <x v="1"/>
    <x v="0"/>
    <n v="2912.2352000000001"/>
    <n v="2912.2352000000001"/>
    <n v="0"/>
  </r>
  <r>
    <x v="588"/>
    <x v="0"/>
    <d v="2024-12-07T00:00:00"/>
    <d v="2025-01-06T00:00:00"/>
    <n v="3632.78"/>
    <x v="3"/>
    <x v="2"/>
    <d v="2025-01-06T00:00:00"/>
    <x v="7"/>
    <x v="1"/>
    <x v="0"/>
    <n v="3632.78"/>
    <n v="3632.78"/>
    <n v="0"/>
  </r>
  <r>
    <x v="589"/>
    <x v="4"/>
    <d v="2024-07-01T00:00:00"/>
    <d v="2024-07-31T00:00:00"/>
    <n v="994.97"/>
    <x v="1"/>
    <x v="2"/>
    <d v="2024-07-31T00:00:00"/>
    <x v="7"/>
    <x v="1"/>
    <x v="0"/>
    <n v="1373.0585999999998"/>
    <n v="1373.0585999999998"/>
    <n v="0"/>
  </r>
  <r>
    <x v="590"/>
    <x v="4"/>
    <d v="2023-12-22T00:00:00"/>
    <d v="2024-01-21T00:00:00"/>
    <n v="2164.98"/>
    <x v="4"/>
    <x v="2"/>
    <d v="2024-01-21T00:00:00"/>
    <x v="7"/>
    <x v="1"/>
    <x v="0"/>
    <n v="3139.221"/>
    <n v="3139.221"/>
    <n v="0"/>
  </r>
  <r>
    <x v="591"/>
    <x v="3"/>
    <d v="2024-08-06T00:00:00"/>
    <d v="2024-09-05T00:00:00"/>
    <n v="3042.89"/>
    <x v="4"/>
    <x v="2"/>
    <d v="2024-09-05T00:00:00"/>
    <x v="7"/>
    <x v="1"/>
    <x v="0"/>
    <n v="4412.1904999999997"/>
    <n v="4412.1904999999997"/>
    <n v="0"/>
  </r>
  <r>
    <x v="592"/>
    <x v="0"/>
    <d v="2023-11-15T00:00:00"/>
    <d v="2023-12-15T00:00:00"/>
    <n v="4101.79"/>
    <x v="4"/>
    <x v="2"/>
    <d v="2023-12-15T00:00:00"/>
    <x v="7"/>
    <x v="1"/>
    <x v="0"/>
    <n v="5947.5954999999994"/>
    <n v="5947.5954999999994"/>
    <n v="0"/>
  </r>
  <r>
    <x v="593"/>
    <x v="4"/>
    <d v="2023-09-21T00:00:00"/>
    <d v="2023-10-21T00:00:00"/>
    <n v="3506.57"/>
    <x v="2"/>
    <x v="2"/>
    <d v="2023-10-21T00:00:00"/>
    <x v="7"/>
    <x v="1"/>
    <x v="0"/>
    <n v="2629.9275000000002"/>
    <n v="2629.9275000000002"/>
    <n v="0"/>
  </r>
  <r>
    <x v="594"/>
    <x v="4"/>
    <d v="2025-05-20T00:00:00"/>
    <d v="2025-06-19T00:00:00"/>
    <n v="3352.25"/>
    <x v="0"/>
    <x v="1"/>
    <s v="Pending"/>
    <x v="219"/>
    <x v="2"/>
    <x v="0"/>
    <n v="2882.9349999999999"/>
    <n v="1441.4675"/>
    <n v="1441.4675"/>
  </r>
  <r>
    <x v="595"/>
    <x v="4"/>
    <d v="2023-10-21T00:00:00"/>
    <d v="2023-11-20T00:00:00"/>
    <n v="940.15"/>
    <x v="3"/>
    <x v="0"/>
    <s v="Pending"/>
    <x v="335"/>
    <x v="0"/>
    <x v="0"/>
    <n v="940.15"/>
    <n v="0"/>
    <n v="940.15"/>
  </r>
  <r>
    <x v="596"/>
    <x v="0"/>
    <d v="2023-08-24T00:00:00"/>
    <d v="2023-09-23T00:00:00"/>
    <n v="3505.16"/>
    <x v="3"/>
    <x v="0"/>
    <s v="Pending"/>
    <x v="37"/>
    <x v="0"/>
    <x v="0"/>
    <n v="3505.16"/>
    <n v="0"/>
    <n v="3505.16"/>
  </r>
  <r>
    <x v="597"/>
    <x v="3"/>
    <d v="2024-05-08T00:00:00"/>
    <d v="2024-06-07T00:00:00"/>
    <n v="319.55"/>
    <x v="0"/>
    <x v="1"/>
    <s v="Pending"/>
    <x v="336"/>
    <x v="0"/>
    <x v="0"/>
    <n v="274.81299999999999"/>
    <n v="137.40649999999999"/>
    <n v="137.40649999999999"/>
  </r>
  <r>
    <x v="598"/>
    <x v="2"/>
    <d v="2023-10-24T00:00:00"/>
    <d v="2023-11-23T00:00:00"/>
    <n v="1360.57"/>
    <x v="1"/>
    <x v="2"/>
    <d v="2023-11-23T00:00:00"/>
    <x v="7"/>
    <x v="1"/>
    <x v="0"/>
    <n v="1877.5865999999999"/>
    <n v="1877.5865999999999"/>
    <n v="0"/>
  </r>
  <r>
    <x v="599"/>
    <x v="2"/>
    <d v="2023-12-17T00:00:00"/>
    <d v="2024-01-16T00:00:00"/>
    <n v="2177.67"/>
    <x v="3"/>
    <x v="2"/>
    <d v="2024-01-16T00:00:00"/>
    <x v="7"/>
    <x v="1"/>
    <x v="0"/>
    <n v="2177.67"/>
    <n v="2177.67"/>
    <n v="0"/>
  </r>
  <r>
    <x v="600"/>
    <x v="3"/>
    <d v="2023-03-19T00:00:00"/>
    <d v="2023-04-18T00:00:00"/>
    <n v="203.9"/>
    <x v="1"/>
    <x v="0"/>
    <s v="Pending"/>
    <x v="337"/>
    <x v="0"/>
    <x v="0"/>
    <n v="281.38200000000001"/>
    <n v="0"/>
    <n v="281.38200000000001"/>
  </r>
  <r>
    <x v="601"/>
    <x v="0"/>
    <d v="2023-10-28T00:00:00"/>
    <d v="2023-11-27T00:00:00"/>
    <n v="868.73"/>
    <x v="4"/>
    <x v="2"/>
    <d v="2023-11-27T00:00:00"/>
    <x v="7"/>
    <x v="1"/>
    <x v="0"/>
    <n v="1259.6585"/>
    <n v="1259.6585"/>
    <n v="0"/>
  </r>
  <r>
    <x v="602"/>
    <x v="4"/>
    <d v="2023-06-05T00:00:00"/>
    <d v="2023-07-05T00:00:00"/>
    <n v="283.51"/>
    <x v="4"/>
    <x v="0"/>
    <s v="Pending"/>
    <x v="56"/>
    <x v="0"/>
    <x v="0"/>
    <n v="411.08949999999999"/>
    <n v="0"/>
    <n v="411.08949999999999"/>
  </r>
  <r>
    <x v="603"/>
    <x v="1"/>
    <d v="2024-11-29T00:00:00"/>
    <d v="2024-12-29T00:00:00"/>
    <n v="1373.89"/>
    <x v="3"/>
    <x v="1"/>
    <s v="Pending"/>
    <x v="76"/>
    <x v="0"/>
    <x v="0"/>
    <n v="1373.89"/>
    <n v="686.94500000000005"/>
    <n v="686.94500000000005"/>
  </r>
  <r>
    <x v="604"/>
    <x v="0"/>
    <d v="2025-05-17T00:00:00"/>
    <d v="2025-06-16T00:00:00"/>
    <n v="1032.8399999999999"/>
    <x v="3"/>
    <x v="1"/>
    <s v="Pending"/>
    <x v="338"/>
    <x v="2"/>
    <x v="0"/>
    <n v="1032.8399999999999"/>
    <n v="516.41999999999996"/>
    <n v="516.41999999999996"/>
  </r>
  <r>
    <x v="605"/>
    <x v="2"/>
    <d v="2024-11-27T00:00:00"/>
    <d v="2024-12-27T00:00:00"/>
    <n v="389.67"/>
    <x v="2"/>
    <x v="1"/>
    <s v="Pending"/>
    <x v="339"/>
    <x v="0"/>
    <x v="0"/>
    <n v="292.2525"/>
    <n v="146.12625"/>
    <n v="146.12625"/>
  </r>
  <r>
    <x v="606"/>
    <x v="0"/>
    <d v="2023-03-03T00:00:00"/>
    <d v="2023-04-02T00:00:00"/>
    <n v="3748.86"/>
    <x v="0"/>
    <x v="1"/>
    <s v="Pending"/>
    <x v="340"/>
    <x v="0"/>
    <x v="0"/>
    <n v="3224.0196000000001"/>
    <n v="1612.0098"/>
    <n v="1612.0098"/>
  </r>
  <r>
    <x v="607"/>
    <x v="4"/>
    <d v="2024-12-09T00:00:00"/>
    <d v="2025-01-08T00:00:00"/>
    <n v="4546.88"/>
    <x v="3"/>
    <x v="0"/>
    <s v="Pending"/>
    <x v="116"/>
    <x v="0"/>
    <x v="0"/>
    <n v="4546.88"/>
    <n v="0"/>
    <n v="4546.88"/>
  </r>
  <r>
    <x v="608"/>
    <x v="3"/>
    <d v="2024-01-08T00:00:00"/>
    <d v="2024-02-07T00:00:00"/>
    <n v="3439.51"/>
    <x v="4"/>
    <x v="1"/>
    <s v="Pending"/>
    <x v="3"/>
    <x v="0"/>
    <x v="0"/>
    <n v="4987.2894999999999"/>
    <n v="2493.6447499999999"/>
    <n v="2493.6447499999999"/>
  </r>
  <r>
    <x v="609"/>
    <x v="4"/>
    <d v="2023-02-19T00:00:00"/>
    <d v="2023-03-21T00:00:00"/>
    <n v="3319.57"/>
    <x v="2"/>
    <x v="0"/>
    <s v="Pending"/>
    <x v="341"/>
    <x v="0"/>
    <x v="0"/>
    <n v="2489.6775000000002"/>
    <n v="0"/>
    <n v="2489.6775000000002"/>
  </r>
  <r>
    <x v="610"/>
    <x v="3"/>
    <d v="2023-01-03T00:00:00"/>
    <d v="2023-02-02T00:00:00"/>
    <n v="3057.93"/>
    <x v="1"/>
    <x v="2"/>
    <d v="2023-02-02T00:00:00"/>
    <x v="7"/>
    <x v="1"/>
    <x v="0"/>
    <n v="4219.9433999999992"/>
    <n v="4219.9433999999992"/>
    <n v="0"/>
  </r>
  <r>
    <x v="611"/>
    <x v="2"/>
    <d v="2024-07-22T00:00:00"/>
    <d v="2024-08-21T00:00:00"/>
    <n v="1043.05"/>
    <x v="4"/>
    <x v="1"/>
    <s v="Pending"/>
    <x v="222"/>
    <x v="0"/>
    <x v="0"/>
    <n v="1512.4224999999999"/>
    <n v="756.21124999999995"/>
    <n v="756.21124999999995"/>
  </r>
  <r>
    <x v="612"/>
    <x v="3"/>
    <d v="2024-04-19T00:00:00"/>
    <d v="2024-05-19T00:00:00"/>
    <n v="1216.7"/>
    <x v="2"/>
    <x v="0"/>
    <s v="Pending"/>
    <x v="205"/>
    <x v="0"/>
    <x v="0"/>
    <n v="912.52500000000009"/>
    <n v="0"/>
    <n v="912.52500000000009"/>
  </r>
  <r>
    <x v="613"/>
    <x v="4"/>
    <d v="2023-06-08T00:00:00"/>
    <d v="2023-07-08T00:00:00"/>
    <n v="1242.77"/>
    <x v="4"/>
    <x v="0"/>
    <s v="Pending"/>
    <x v="342"/>
    <x v="0"/>
    <x v="0"/>
    <n v="1802.0165"/>
    <n v="0"/>
    <n v="1802.0165"/>
  </r>
  <r>
    <x v="614"/>
    <x v="3"/>
    <d v="2023-01-17T00:00:00"/>
    <d v="2023-02-16T00:00:00"/>
    <n v="1253.18"/>
    <x v="0"/>
    <x v="0"/>
    <s v="Pending"/>
    <x v="343"/>
    <x v="0"/>
    <x v="0"/>
    <n v="1077.7348"/>
    <n v="0"/>
    <n v="1077.7348"/>
  </r>
  <r>
    <x v="615"/>
    <x v="2"/>
    <d v="2023-12-18T00:00:00"/>
    <d v="2024-01-17T00:00:00"/>
    <n v="1423.03"/>
    <x v="2"/>
    <x v="0"/>
    <s v="Pending"/>
    <x v="344"/>
    <x v="0"/>
    <x v="0"/>
    <n v="1067.2725"/>
    <n v="0"/>
    <n v="1067.2725"/>
  </r>
  <r>
    <x v="616"/>
    <x v="3"/>
    <d v="2023-01-14T00:00:00"/>
    <d v="2023-02-13T00:00:00"/>
    <n v="908.37"/>
    <x v="0"/>
    <x v="2"/>
    <d v="2023-02-13T00:00:00"/>
    <x v="7"/>
    <x v="1"/>
    <x v="0"/>
    <n v="781.19820000000004"/>
    <n v="781.19820000000004"/>
    <n v="0"/>
  </r>
  <r>
    <x v="617"/>
    <x v="0"/>
    <d v="2024-11-11T00:00:00"/>
    <d v="2024-12-11T00:00:00"/>
    <n v="4103.24"/>
    <x v="2"/>
    <x v="0"/>
    <s v="Pending"/>
    <x v="345"/>
    <x v="0"/>
    <x v="0"/>
    <n v="3077.43"/>
    <n v="0"/>
    <n v="3077.43"/>
  </r>
  <r>
    <x v="618"/>
    <x v="3"/>
    <d v="2024-10-26T00:00:00"/>
    <d v="2024-11-25T00:00:00"/>
    <n v="2557.84"/>
    <x v="2"/>
    <x v="1"/>
    <s v="Pending"/>
    <x v="346"/>
    <x v="0"/>
    <x v="0"/>
    <n v="1918.38"/>
    <n v="959.19"/>
    <n v="959.19"/>
  </r>
  <r>
    <x v="619"/>
    <x v="1"/>
    <d v="2023-01-01T00:00:00"/>
    <d v="2023-01-31T00:00:00"/>
    <n v="4192.79"/>
    <x v="4"/>
    <x v="1"/>
    <s v="Pending"/>
    <x v="347"/>
    <x v="0"/>
    <x v="0"/>
    <n v="6079.5455000000002"/>
    <n v="3039.7727500000001"/>
    <n v="3039.7727500000001"/>
  </r>
  <r>
    <x v="620"/>
    <x v="2"/>
    <d v="2024-11-09T00:00:00"/>
    <d v="2024-12-09T00:00:00"/>
    <n v="2144.7199999999998"/>
    <x v="4"/>
    <x v="1"/>
    <s v="Pending"/>
    <x v="117"/>
    <x v="0"/>
    <x v="0"/>
    <n v="3109.8439999999996"/>
    <n v="1554.9219999999998"/>
    <n v="1554.9219999999998"/>
  </r>
  <r>
    <x v="621"/>
    <x v="2"/>
    <d v="2024-11-08T00:00:00"/>
    <d v="2024-12-08T00:00:00"/>
    <n v="669.43"/>
    <x v="3"/>
    <x v="0"/>
    <s v="Pending"/>
    <x v="348"/>
    <x v="0"/>
    <x v="0"/>
    <n v="669.43"/>
    <n v="0"/>
    <n v="669.43"/>
  </r>
  <r>
    <x v="622"/>
    <x v="0"/>
    <d v="2025-03-01T00:00:00"/>
    <d v="2025-03-31T00:00:00"/>
    <n v="2583.87"/>
    <x v="4"/>
    <x v="2"/>
    <d v="2025-03-31T00:00:00"/>
    <x v="7"/>
    <x v="1"/>
    <x v="0"/>
    <n v="3746.6114999999995"/>
    <n v="3746.6114999999995"/>
    <n v="0"/>
  </r>
  <r>
    <x v="623"/>
    <x v="1"/>
    <d v="2025-01-26T00:00:00"/>
    <d v="2025-02-25T00:00:00"/>
    <n v="2870.13"/>
    <x v="2"/>
    <x v="0"/>
    <s v="Pending"/>
    <x v="349"/>
    <x v="0"/>
    <x v="0"/>
    <n v="2152.5974999999999"/>
    <n v="0"/>
    <n v="2152.5974999999999"/>
  </r>
  <r>
    <x v="624"/>
    <x v="3"/>
    <d v="2025-04-01T00:00:00"/>
    <d v="2025-05-01T00:00:00"/>
    <n v="308.64"/>
    <x v="1"/>
    <x v="0"/>
    <s v="Pending"/>
    <x v="115"/>
    <x v="2"/>
    <x v="0"/>
    <n v="425.92319999999995"/>
    <n v="0"/>
    <n v="425.92319999999995"/>
  </r>
  <r>
    <x v="625"/>
    <x v="1"/>
    <d v="2024-09-07T00:00:00"/>
    <d v="2024-10-07T00:00:00"/>
    <n v="754.61"/>
    <x v="3"/>
    <x v="2"/>
    <d v="2024-10-07T00:00:00"/>
    <x v="7"/>
    <x v="1"/>
    <x v="0"/>
    <n v="754.61"/>
    <n v="754.61"/>
    <n v="0"/>
  </r>
  <r>
    <x v="626"/>
    <x v="3"/>
    <d v="2025-05-22T00:00:00"/>
    <d v="2025-06-21T00:00:00"/>
    <n v="1564.86"/>
    <x v="0"/>
    <x v="0"/>
    <s v="Pending"/>
    <x v="350"/>
    <x v="2"/>
    <x v="0"/>
    <n v="1345.7795999999998"/>
    <n v="0"/>
    <n v="1345.7795999999998"/>
  </r>
  <r>
    <x v="627"/>
    <x v="1"/>
    <d v="2023-01-15T00:00:00"/>
    <d v="2023-02-14T00:00:00"/>
    <n v="2205.11"/>
    <x v="2"/>
    <x v="1"/>
    <s v="Pending"/>
    <x v="313"/>
    <x v="0"/>
    <x v="0"/>
    <n v="1653.8325"/>
    <n v="826.91624999999999"/>
    <n v="826.91624999999999"/>
  </r>
  <r>
    <x v="628"/>
    <x v="3"/>
    <d v="2024-05-09T00:00:00"/>
    <d v="2024-06-08T00:00:00"/>
    <n v="562.79999999999995"/>
    <x v="2"/>
    <x v="1"/>
    <s v="Pending"/>
    <x v="351"/>
    <x v="0"/>
    <x v="0"/>
    <n v="422.09999999999997"/>
    <n v="211.04999999999998"/>
    <n v="211.04999999999998"/>
  </r>
  <r>
    <x v="629"/>
    <x v="0"/>
    <d v="2023-03-02T00:00:00"/>
    <d v="2023-04-01T00:00:00"/>
    <n v="3911.54"/>
    <x v="3"/>
    <x v="1"/>
    <s v="Pending"/>
    <x v="352"/>
    <x v="0"/>
    <x v="0"/>
    <n v="3911.54"/>
    <n v="1955.77"/>
    <n v="1955.77"/>
  </r>
  <r>
    <x v="630"/>
    <x v="4"/>
    <d v="2025-06-28T00:00:00"/>
    <d v="2025-07-28T00:00:00"/>
    <n v="3891.61"/>
    <x v="1"/>
    <x v="1"/>
    <s v="Pending"/>
    <x v="353"/>
    <x v="2"/>
    <x v="0"/>
    <n v="5370.4218000000001"/>
    <n v="2685.2109"/>
    <n v="2685.2109"/>
  </r>
  <r>
    <x v="631"/>
    <x v="2"/>
    <d v="2023-02-15T00:00:00"/>
    <d v="2023-03-17T00:00:00"/>
    <n v="2302.46"/>
    <x v="2"/>
    <x v="0"/>
    <s v="Pending"/>
    <x v="354"/>
    <x v="0"/>
    <x v="0"/>
    <n v="1726.845"/>
    <n v="0"/>
    <n v="1726.845"/>
  </r>
  <r>
    <x v="632"/>
    <x v="3"/>
    <d v="2024-04-06T00:00:00"/>
    <d v="2024-05-06T00:00:00"/>
    <n v="3723.61"/>
    <x v="3"/>
    <x v="0"/>
    <s v="Pending"/>
    <x v="133"/>
    <x v="0"/>
    <x v="0"/>
    <n v="3723.61"/>
    <n v="0"/>
    <n v="3723.61"/>
  </r>
  <r>
    <x v="633"/>
    <x v="0"/>
    <d v="2024-02-26T00:00:00"/>
    <d v="2024-03-27T00:00:00"/>
    <n v="2892.87"/>
    <x v="0"/>
    <x v="0"/>
    <s v="Pending"/>
    <x v="303"/>
    <x v="0"/>
    <x v="0"/>
    <n v="2487.8681999999999"/>
    <n v="0"/>
    <n v="2487.8681999999999"/>
  </r>
  <r>
    <x v="634"/>
    <x v="2"/>
    <d v="2024-12-24T00:00:00"/>
    <d v="2025-01-23T00:00:00"/>
    <n v="2261.7399999999998"/>
    <x v="2"/>
    <x v="0"/>
    <s v="Pending"/>
    <x v="355"/>
    <x v="0"/>
    <x v="0"/>
    <n v="1696.3049999999998"/>
    <n v="0"/>
    <n v="1696.3049999999998"/>
  </r>
  <r>
    <x v="635"/>
    <x v="3"/>
    <d v="2024-03-10T00:00:00"/>
    <d v="2024-04-09T00:00:00"/>
    <n v="3900.62"/>
    <x v="4"/>
    <x v="1"/>
    <s v="Pending"/>
    <x v="260"/>
    <x v="0"/>
    <x v="0"/>
    <n v="5655.8989999999994"/>
    <n v="2827.9494999999997"/>
    <n v="2827.9494999999997"/>
  </r>
  <r>
    <x v="636"/>
    <x v="3"/>
    <d v="2024-05-07T00:00:00"/>
    <d v="2024-06-06T00:00:00"/>
    <n v="4377.2"/>
    <x v="2"/>
    <x v="0"/>
    <s v="Pending"/>
    <x v="356"/>
    <x v="0"/>
    <x v="0"/>
    <n v="3282.8999999999996"/>
    <n v="0"/>
    <n v="3282.8999999999996"/>
  </r>
  <r>
    <x v="637"/>
    <x v="4"/>
    <d v="2025-01-13T00:00:00"/>
    <d v="2025-02-12T00:00:00"/>
    <n v="4656.51"/>
    <x v="4"/>
    <x v="2"/>
    <d v="2025-02-12T00:00:00"/>
    <x v="7"/>
    <x v="1"/>
    <x v="0"/>
    <n v="6751.9395000000004"/>
    <n v="6751.9395000000004"/>
    <n v="0"/>
  </r>
  <r>
    <x v="638"/>
    <x v="2"/>
    <d v="2025-02-16T00:00:00"/>
    <d v="2025-03-18T00:00:00"/>
    <n v="4576.1099999999997"/>
    <x v="3"/>
    <x v="0"/>
    <s v="Pending"/>
    <x v="139"/>
    <x v="0"/>
    <x v="0"/>
    <n v="4576.1099999999997"/>
    <n v="0"/>
    <n v="4576.1099999999997"/>
  </r>
  <r>
    <x v="639"/>
    <x v="3"/>
    <d v="2025-05-04T00:00:00"/>
    <d v="2025-06-03T00:00:00"/>
    <n v="1039.52"/>
    <x v="0"/>
    <x v="1"/>
    <s v="Pending"/>
    <x v="357"/>
    <x v="2"/>
    <x v="0"/>
    <n v="893.98719999999992"/>
    <n v="446.99359999999996"/>
    <n v="446.99359999999996"/>
  </r>
  <r>
    <x v="640"/>
    <x v="4"/>
    <d v="2023-09-02T00:00:00"/>
    <d v="2023-10-02T00:00:00"/>
    <n v="179.18"/>
    <x v="2"/>
    <x v="2"/>
    <d v="2023-10-02T00:00:00"/>
    <x v="7"/>
    <x v="1"/>
    <x v="0"/>
    <n v="134.38499999999999"/>
    <n v="134.38499999999999"/>
    <n v="0"/>
  </r>
  <r>
    <x v="641"/>
    <x v="2"/>
    <d v="2023-11-05T00:00:00"/>
    <d v="2023-12-05T00:00:00"/>
    <n v="2198.02"/>
    <x v="4"/>
    <x v="2"/>
    <d v="2023-12-05T00:00:00"/>
    <x v="7"/>
    <x v="1"/>
    <x v="0"/>
    <n v="3187.1289999999999"/>
    <n v="3187.1289999999999"/>
    <n v="0"/>
  </r>
  <r>
    <x v="642"/>
    <x v="1"/>
    <d v="2024-03-11T00:00:00"/>
    <d v="2024-04-10T00:00:00"/>
    <n v="3150.23"/>
    <x v="4"/>
    <x v="1"/>
    <s v="Pending"/>
    <x v="155"/>
    <x v="0"/>
    <x v="0"/>
    <n v="4567.8334999999997"/>
    <n v="2283.9167499999999"/>
    <n v="2283.9167499999999"/>
  </r>
  <r>
    <x v="643"/>
    <x v="1"/>
    <d v="2023-11-06T00:00:00"/>
    <d v="2023-12-06T00:00:00"/>
    <n v="4973.37"/>
    <x v="4"/>
    <x v="1"/>
    <s v="Pending"/>
    <x v="358"/>
    <x v="0"/>
    <x v="0"/>
    <n v="7211.3864999999996"/>
    <n v="3605.6932499999998"/>
    <n v="3605.6932499999998"/>
  </r>
  <r>
    <x v="644"/>
    <x v="2"/>
    <d v="2025-04-10T00:00:00"/>
    <d v="2025-05-10T00:00:00"/>
    <n v="4507.3999999999996"/>
    <x v="1"/>
    <x v="2"/>
    <d v="2025-05-10T00:00:00"/>
    <x v="7"/>
    <x v="1"/>
    <x v="0"/>
    <n v="6220.2119999999986"/>
    <n v="6220.2119999999986"/>
    <n v="0"/>
  </r>
  <r>
    <x v="645"/>
    <x v="0"/>
    <d v="2023-07-18T00:00:00"/>
    <d v="2023-08-17T00:00:00"/>
    <n v="2432.37"/>
    <x v="2"/>
    <x v="1"/>
    <s v="Pending"/>
    <x v="359"/>
    <x v="0"/>
    <x v="0"/>
    <n v="1824.2774999999999"/>
    <n v="912.13874999999996"/>
    <n v="912.13874999999996"/>
  </r>
  <r>
    <x v="646"/>
    <x v="3"/>
    <d v="2023-09-02T00:00:00"/>
    <d v="2023-10-02T00:00:00"/>
    <n v="3421.02"/>
    <x v="4"/>
    <x v="0"/>
    <s v="Pending"/>
    <x v="360"/>
    <x v="0"/>
    <x v="0"/>
    <n v="4960.4790000000003"/>
    <n v="0"/>
    <n v="4960.4790000000003"/>
  </r>
  <r>
    <x v="647"/>
    <x v="3"/>
    <d v="2023-08-08T00:00:00"/>
    <d v="2023-09-07T00:00:00"/>
    <n v="223.05"/>
    <x v="2"/>
    <x v="2"/>
    <d v="2023-09-07T00:00:00"/>
    <x v="7"/>
    <x v="1"/>
    <x v="0"/>
    <n v="167.28750000000002"/>
    <n v="167.28750000000002"/>
    <n v="0"/>
  </r>
  <r>
    <x v="648"/>
    <x v="0"/>
    <d v="2024-06-12T00:00:00"/>
    <d v="2024-07-12T00:00:00"/>
    <n v="599.71"/>
    <x v="3"/>
    <x v="0"/>
    <s v="Pending"/>
    <x v="328"/>
    <x v="0"/>
    <x v="0"/>
    <n v="599.71"/>
    <n v="0"/>
    <n v="599.71"/>
  </r>
  <r>
    <x v="649"/>
    <x v="0"/>
    <d v="2023-04-13T00:00:00"/>
    <d v="2023-05-13T00:00:00"/>
    <n v="4739.08"/>
    <x v="0"/>
    <x v="1"/>
    <s v="Pending"/>
    <x v="361"/>
    <x v="0"/>
    <x v="0"/>
    <n v="4075.6088"/>
    <n v="2037.8044"/>
    <n v="2037.8044"/>
  </r>
  <r>
    <x v="650"/>
    <x v="2"/>
    <d v="2024-11-13T00:00:00"/>
    <d v="2024-12-13T00:00:00"/>
    <n v="332.35"/>
    <x v="4"/>
    <x v="1"/>
    <s v="Pending"/>
    <x v="362"/>
    <x v="0"/>
    <x v="0"/>
    <n v="481.90750000000003"/>
    <n v="240.95375000000001"/>
    <n v="240.95375000000001"/>
  </r>
  <r>
    <x v="651"/>
    <x v="0"/>
    <d v="2024-07-02T00:00:00"/>
    <d v="2024-08-01T00:00:00"/>
    <n v="4746.3999999999996"/>
    <x v="3"/>
    <x v="2"/>
    <d v="2024-08-01T00:00:00"/>
    <x v="7"/>
    <x v="1"/>
    <x v="0"/>
    <n v="4746.3999999999996"/>
    <n v="4746.3999999999996"/>
    <n v="0"/>
  </r>
  <r>
    <x v="652"/>
    <x v="2"/>
    <d v="2023-07-06T00:00:00"/>
    <d v="2023-08-05T00:00:00"/>
    <n v="4124.6000000000004"/>
    <x v="2"/>
    <x v="0"/>
    <s v="Pending"/>
    <x v="363"/>
    <x v="0"/>
    <x v="0"/>
    <n v="3093.4500000000003"/>
    <n v="0"/>
    <n v="3093.4500000000003"/>
  </r>
  <r>
    <x v="653"/>
    <x v="4"/>
    <d v="2023-06-06T00:00:00"/>
    <d v="2023-07-06T00:00:00"/>
    <n v="1630.69"/>
    <x v="2"/>
    <x v="2"/>
    <d v="2023-07-06T00:00:00"/>
    <x v="7"/>
    <x v="1"/>
    <x v="0"/>
    <n v="1223.0174999999999"/>
    <n v="1223.0174999999999"/>
    <n v="0"/>
  </r>
  <r>
    <x v="654"/>
    <x v="3"/>
    <d v="2024-09-14T00:00:00"/>
    <d v="2024-10-14T00:00:00"/>
    <n v="4643.99"/>
    <x v="2"/>
    <x v="1"/>
    <s v="Pending"/>
    <x v="364"/>
    <x v="0"/>
    <x v="0"/>
    <n v="3482.9924999999998"/>
    <n v="1741.4962499999999"/>
    <n v="1741.4962499999999"/>
  </r>
  <r>
    <x v="655"/>
    <x v="1"/>
    <d v="2023-09-29T00:00:00"/>
    <d v="2023-10-29T00:00:00"/>
    <n v="121.66"/>
    <x v="1"/>
    <x v="0"/>
    <s v="Pending"/>
    <x v="267"/>
    <x v="0"/>
    <x v="0"/>
    <n v="167.89079999999998"/>
    <n v="0"/>
    <n v="167.89079999999998"/>
  </r>
  <r>
    <x v="656"/>
    <x v="2"/>
    <d v="2023-07-04T00:00:00"/>
    <d v="2023-08-03T00:00:00"/>
    <n v="2464.2399999999998"/>
    <x v="3"/>
    <x v="1"/>
    <s v="Pending"/>
    <x v="365"/>
    <x v="0"/>
    <x v="0"/>
    <n v="2464.2399999999998"/>
    <n v="1232.1199999999999"/>
    <n v="1232.1199999999999"/>
  </r>
  <r>
    <x v="657"/>
    <x v="4"/>
    <d v="2023-12-11T00:00:00"/>
    <d v="2024-01-10T00:00:00"/>
    <n v="4354.51"/>
    <x v="2"/>
    <x v="1"/>
    <s v="Pending"/>
    <x v="366"/>
    <x v="0"/>
    <x v="0"/>
    <n v="3265.8825000000002"/>
    <n v="1632.9412500000001"/>
    <n v="1632.9412500000001"/>
  </r>
  <r>
    <x v="658"/>
    <x v="4"/>
    <d v="2023-12-13T00:00:00"/>
    <d v="2024-01-12T00:00:00"/>
    <n v="1809.68"/>
    <x v="3"/>
    <x v="1"/>
    <s v="Pending"/>
    <x v="217"/>
    <x v="0"/>
    <x v="0"/>
    <n v="1809.68"/>
    <n v="904.84"/>
    <n v="904.84"/>
  </r>
  <r>
    <x v="659"/>
    <x v="4"/>
    <d v="2024-10-23T00:00:00"/>
    <d v="2024-11-22T00:00:00"/>
    <n v="4448.67"/>
    <x v="3"/>
    <x v="0"/>
    <s v="Pending"/>
    <x v="147"/>
    <x v="0"/>
    <x v="0"/>
    <n v="4448.67"/>
    <n v="0"/>
    <n v="4448.67"/>
  </r>
  <r>
    <x v="660"/>
    <x v="1"/>
    <d v="2025-06-02T00:00:00"/>
    <d v="2025-07-02T00:00:00"/>
    <n v="3810.59"/>
    <x v="1"/>
    <x v="2"/>
    <d v="2025-07-02T00:00:00"/>
    <x v="7"/>
    <x v="1"/>
    <x v="0"/>
    <n v="5258.6142"/>
    <n v="5258.6142"/>
    <n v="0"/>
  </r>
  <r>
    <x v="661"/>
    <x v="4"/>
    <d v="2024-05-21T00:00:00"/>
    <d v="2024-06-20T00:00:00"/>
    <n v="4234.42"/>
    <x v="4"/>
    <x v="0"/>
    <s v="Pending"/>
    <x v="284"/>
    <x v="0"/>
    <x v="0"/>
    <n v="6139.9089999999997"/>
    <n v="0"/>
    <n v="6139.9089999999997"/>
  </r>
  <r>
    <x v="662"/>
    <x v="0"/>
    <d v="2024-01-30T00:00:00"/>
    <d v="2024-02-29T00:00:00"/>
    <n v="2754.86"/>
    <x v="2"/>
    <x v="1"/>
    <s v="Pending"/>
    <x v="208"/>
    <x v="0"/>
    <x v="0"/>
    <n v="2066.145"/>
    <n v="1033.0725"/>
    <n v="1033.0725"/>
  </r>
  <r>
    <x v="663"/>
    <x v="4"/>
    <d v="2025-02-23T00:00:00"/>
    <d v="2025-03-25T00:00:00"/>
    <n v="3198.07"/>
    <x v="2"/>
    <x v="1"/>
    <s v="Pending"/>
    <x v="146"/>
    <x v="2"/>
    <x v="0"/>
    <n v="2398.5525000000002"/>
    <n v="1199.2762500000001"/>
    <n v="1199.2762500000001"/>
  </r>
  <r>
    <x v="664"/>
    <x v="0"/>
    <d v="2023-10-02T00:00:00"/>
    <d v="2023-11-01T00:00:00"/>
    <n v="3984.98"/>
    <x v="0"/>
    <x v="1"/>
    <s v="Pending"/>
    <x v="367"/>
    <x v="0"/>
    <x v="0"/>
    <n v="3427.0828000000001"/>
    <n v="1713.5414000000001"/>
    <n v="1713.5414000000001"/>
  </r>
  <r>
    <x v="665"/>
    <x v="3"/>
    <d v="2023-06-19T00:00:00"/>
    <d v="2023-07-19T00:00:00"/>
    <n v="4810.12"/>
    <x v="3"/>
    <x v="0"/>
    <s v="Pending"/>
    <x v="317"/>
    <x v="0"/>
    <x v="0"/>
    <n v="4810.12"/>
    <n v="0"/>
    <n v="4810.12"/>
  </r>
  <r>
    <x v="666"/>
    <x v="2"/>
    <d v="2024-01-20T00:00:00"/>
    <d v="2024-02-19T00:00:00"/>
    <n v="4712.91"/>
    <x v="0"/>
    <x v="0"/>
    <s v="Pending"/>
    <x v="75"/>
    <x v="0"/>
    <x v="0"/>
    <n v="4053.1025999999997"/>
    <n v="0"/>
    <n v="4053.1025999999997"/>
  </r>
  <r>
    <x v="667"/>
    <x v="0"/>
    <d v="2025-02-04T00:00:00"/>
    <d v="2025-03-06T00:00:00"/>
    <n v="4624.82"/>
    <x v="4"/>
    <x v="2"/>
    <d v="2025-03-06T00:00:00"/>
    <x v="7"/>
    <x v="1"/>
    <x v="0"/>
    <n v="6705.9889999999996"/>
    <n v="6705.9889999999996"/>
    <n v="0"/>
  </r>
  <r>
    <x v="668"/>
    <x v="4"/>
    <d v="2024-08-18T00:00:00"/>
    <d v="2024-09-17T00:00:00"/>
    <n v="3779.89"/>
    <x v="1"/>
    <x v="0"/>
    <s v="Pending"/>
    <x v="368"/>
    <x v="0"/>
    <x v="0"/>
    <n v="5216.2481999999991"/>
    <n v="0"/>
    <n v="5216.2481999999991"/>
  </r>
  <r>
    <x v="669"/>
    <x v="3"/>
    <d v="2023-07-11T00:00:00"/>
    <d v="2023-08-10T00:00:00"/>
    <n v="528.42999999999995"/>
    <x v="2"/>
    <x v="1"/>
    <s v="Pending"/>
    <x v="294"/>
    <x v="0"/>
    <x v="0"/>
    <n v="396.32249999999999"/>
    <n v="198.16125"/>
    <n v="198.16125"/>
  </r>
  <r>
    <x v="670"/>
    <x v="2"/>
    <d v="2024-01-14T00:00:00"/>
    <d v="2024-02-13T00:00:00"/>
    <n v="3542.71"/>
    <x v="4"/>
    <x v="2"/>
    <d v="2024-02-13T00:00:00"/>
    <x v="7"/>
    <x v="1"/>
    <x v="0"/>
    <n v="5136.9295000000002"/>
    <n v="5136.9295000000002"/>
    <n v="0"/>
  </r>
  <r>
    <x v="671"/>
    <x v="2"/>
    <d v="2025-06-16T00:00:00"/>
    <d v="2025-07-16T00:00:00"/>
    <n v="1625.04"/>
    <x v="2"/>
    <x v="2"/>
    <d v="2025-07-16T00:00:00"/>
    <x v="7"/>
    <x v="1"/>
    <x v="0"/>
    <n v="1218.78"/>
    <n v="1218.78"/>
    <n v="0"/>
  </r>
  <r>
    <x v="672"/>
    <x v="1"/>
    <d v="2023-10-14T00:00:00"/>
    <d v="2023-11-13T00:00:00"/>
    <n v="3513.91"/>
    <x v="4"/>
    <x v="1"/>
    <s v="Pending"/>
    <x v="369"/>
    <x v="0"/>
    <x v="0"/>
    <n v="5095.1695"/>
    <n v="2547.58475"/>
    <n v="2547.58475"/>
  </r>
  <r>
    <x v="673"/>
    <x v="4"/>
    <d v="2023-06-02T00:00:00"/>
    <d v="2023-07-02T00:00:00"/>
    <n v="1005.78"/>
    <x v="2"/>
    <x v="2"/>
    <d v="2023-07-02T00:00:00"/>
    <x v="7"/>
    <x v="1"/>
    <x v="0"/>
    <n v="754.33500000000004"/>
    <n v="754.33500000000004"/>
    <n v="0"/>
  </r>
  <r>
    <x v="674"/>
    <x v="4"/>
    <d v="2025-06-13T00:00:00"/>
    <d v="2025-07-13T00:00:00"/>
    <n v="4800.13"/>
    <x v="4"/>
    <x v="1"/>
    <s v="Pending"/>
    <x v="48"/>
    <x v="2"/>
    <x v="0"/>
    <n v="6960.1885000000002"/>
    <n v="3480.0942500000001"/>
    <n v="3480.0942500000001"/>
  </r>
  <r>
    <x v="675"/>
    <x v="2"/>
    <d v="2025-04-13T00:00:00"/>
    <d v="2025-05-13T00:00:00"/>
    <n v="2790.67"/>
    <x v="4"/>
    <x v="1"/>
    <s v="Pending"/>
    <x v="370"/>
    <x v="2"/>
    <x v="0"/>
    <n v="4046.4715000000001"/>
    <n v="2023.2357500000001"/>
    <n v="2023.2357500000001"/>
  </r>
  <r>
    <x v="676"/>
    <x v="4"/>
    <d v="2023-03-03T00:00:00"/>
    <d v="2023-04-02T00:00:00"/>
    <n v="3677.45"/>
    <x v="2"/>
    <x v="0"/>
    <s v="Pending"/>
    <x v="340"/>
    <x v="0"/>
    <x v="0"/>
    <n v="2758.0874999999996"/>
    <n v="0"/>
    <n v="2758.0874999999996"/>
  </r>
  <r>
    <x v="677"/>
    <x v="1"/>
    <d v="2023-01-29T00:00:00"/>
    <d v="2023-02-28T00:00:00"/>
    <n v="2795.97"/>
    <x v="4"/>
    <x v="1"/>
    <s v="Pending"/>
    <x v="371"/>
    <x v="0"/>
    <x v="0"/>
    <n v="4054.1564999999996"/>
    <n v="2027.0782499999998"/>
    <n v="2027.0782499999998"/>
  </r>
  <r>
    <x v="678"/>
    <x v="1"/>
    <d v="2023-08-14T00:00:00"/>
    <d v="2023-09-13T00:00:00"/>
    <n v="3609.91"/>
    <x v="0"/>
    <x v="0"/>
    <s v="Pending"/>
    <x v="80"/>
    <x v="0"/>
    <x v="0"/>
    <n v="3104.5225999999998"/>
    <n v="0"/>
    <n v="3104.5225999999998"/>
  </r>
  <r>
    <x v="679"/>
    <x v="2"/>
    <d v="2024-06-24T00:00:00"/>
    <d v="2024-07-24T00:00:00"/>
    <n v="415.41"/>
    <x v="1"/>
    <x v="0"/>
    <s v="Pending"/>
    <x v="100"/>
    <x v="0"/>
    <x v="0"/>
    <n v="573.26580000000001"/>
    <n v="0"/>
    <n v="573.26580000000001"/>
  </r>
  <r>
    <x v="680"/>
    <x v="0"/>
    <d v="2024-05-29T00:00:00"/>
    <d v="2024-06-28T00:00:00"/>
    <n v="3262.02"/>
    <x v="0"/>
    <x v="1"/>
    <s v="Pending"/>
    <x v="372"/>
    <x v="0"/>
    <x v="0"/>
    <n v="2805.3371999999999"/>
    <n v="1402.6686"/>
    <n v="1402.6686"/>
  </r>
  <r>
    <x v="681"/>
    <x v="1"/>
    <d v="2024-08-10T00:00:00"/>
    <d v="2024-09-09T00:00:00"/>
    <n v="386.52"/>
    <x v="0"/>
    <x v="0"/>
    <s v="Pending"/>
    <x v="373"/>
    <x v="0"/>
    <x v="0"/>
    <n v="332.40719999999999"/>
    <n v="0"/>
    <n v="332.40719999999999"/>
  </r>
  <r>
    <x v="682"/>
    <x v="4"/>
    <d v="2023-08-12T00:00:00"/>
    <d v="2023-09-11T00:00:00"/>
    <n v="3339.93"/>
    <x v="2"/>
    <x v="1"/>
    <s v="Pending"/>
    <x v="374"/>
    <x v="0"/>
    <x v="0"/>
    <n v="2504.9474999999998"/>
    <n v="1252.4737499999999"/>
    <n v="1252.4737499999999"/>
  </r>
  <r>
    <x v="683"/>
    <x v="2"/>
    <d v="2023-05-19T00:00:00"/>
    <d v="2023-06-18T00:00:00"/>
    <n v="4195.2"/>
    <x v="0"/>
    <x v="1"/>
    <s v="Pending"/>
    <x v="11"/>
    <x v="0"/>
    <x v="0"/>
    <n v="3607.8719999999998"/>
    <n v="1803.9359999999999"/>
    <n v="1803.9359999999999"/>
  </r>
  <r>
    <x v="684"/>
    <x v="2"/>
    <d v="2023-05-19T00:00:00"/>
    <d v="2023-06-18T00:00:00"/>
    <n v="2911.89"/>
    <x v="0"/>
    <x v="0"/>
    <s v="Pending"/>
    <x v="11"/>
    <x v="0"/>
    <x v="0"/>
    <n v="2504.2253999999998"/>
    <n v="0"/>
    <n v="2504.2253999999998"/>
  </r>
  <r>
    <x v="685"/>
    <x v="4"/>
    <d v="2025-03-30T00:00:00"/>
    <d v="2025-04-29T00:00:00"/>
    <n v="1595.21"/>
    <x v="1"/>
    <x v="0"/>
    <s v="Pending"/>
    <x v="375"/>
    <x v="2"/>
    <x v="0"/>
    <n v="2201.3897999999999"/>
    <n v="0"/>
    <n v="2201.3897999999999"/>
  </r>
  <r>
    <x v="686"/>
    <x v="2"/>
    <d v="2023-04-07T00:00:00"/>
    <d v="2023-05-07T00:00:00"/>
    <n v="2246.04"/>
    <x v="0"/>
    <x v="0"/>
    <s v="Pending"/>
    <x v="376"/>
    <x v="0"/>
    <x v="0"/>
    <n v="1931.5944"/>
    <n v="0"/>
    <n v="1931.5944"/>
  </r>
  <r>
    <x v="687"/>
    <x v="4"/>
    <d v="2024-01-01T00:00:00"/>
    <d v="2024-01-31T00:00:00"/>
    <n v="560.41999999999996"/>
    <x v="0"/>
    <x v="2"/>
    <d v="2024-01-31T00:00:00"/>
    <x v="7"/>
    <x v="1"/>
    <x v="0"/>
    <n v="481.96119999999996"/>
    <n v="481.96119999999996"/>
    <n v="0"/>
  </r>
  <r>
    <x v="688"/>
    <x v="3"/>
    <d v="2023-11-29T00:00:00"/>
    <d v="2023-12-29T00:00:00"/>
    <n v="1796.7"/>
    <x v="0"/>
    <x v="0"/>
    <s v="Pending"/>
    <x v="377"/>
    <x v="0"/>
    <x v="0"/>
    <n v="1545.162"/>
    <n v="0"/>
    <n v="1545.162"/>
  </r>
  <r>
    <x v="689"/>
    <x v="1"/>
    <d v="2024-06-01T00:00:00"/>
    <d v="2024-07-01T00:00:00"/>
    <n v="1049.54"/>
    <x v="0"/>
    <x v="1"/>
    <s v="Pending"/>
    <x v="378"/>
    <x v="0"/>
    <x v="0"/>
    <n v="902.60439999999994"/>
    <n v="451.30219999999997"/>
    <n v="451.30219999999997"/>
  </r>
  <r>
    <x v="690"/>
    <x v="2"/>
    <d v="2023-09-09T00:00:00"/>
    <d v="2023-10-09T00:00:00"/>
    <n v="2858.31"/>
    <x v="0"/>
    <x v="0"/>
    <s v="Pending"/>
    <x v="379"/>
    <x v="0"/>
    <x v="0"/>
    <n v="2458.1466"/>
    <n v="0"/>
    <n v="2458.1466"/>
  </r>
  <r>
    <x v="691"/>
    <x v="2"/>
    <d v="2023-12-19T00:00:00"/>
    <d v="2024-01-18T00:00:00"/>
    <n v="2144.37"/>
    <x v="1"/>
    <x v="0"/>
    <s v="Pending"/>
    <x v="39"/>
    <x v="0"/>
    <x v="0"/>
    <n v="2959.2305999999994"/>
    <n v="0"/>
    <n v="2959.2305999999994"/>
  </r>
  <r>
    <x v="692"/>
    <x v="3"/>
    <d v="2025-06-07T00:00:00"/>
    <d v="2025-07-07T00:00:00"/>
    <n v="1051.29"/>
    <x v="0"/>
    <x v="2"/>
    <d v="2025-07-07T00:00:00"/>
    <x v="7"/>
    <x v="1"/>
    <x v="0"/>
    <n v="904.10939999999994"/>
    <n v="904.10939999999994"/>
    <n v="0"/>
  </r>
  <r>
    <x v="693"/>
    <x v="3"/>
    <d v="2023-03-21T00:00:00"/>
    <d v="2023-04-20T00:00:00"/>
    <n v="212.66"/>
    <x v="3"/>
    <x v="1"/>
    <s v="Pending"/>
    <x v="380"/>
    <x v="0"/>
    <x v="0"/>
    <n v="212.66"/>
    <n v="106.33"/>
    <n v="106.33"/>
  </r>
  <r>
    <x v="694"/>
    <x v="1"/>
    <d v="2023-12-11T00:00:00"/>
    <d v="2024-01-10T00:00:00"/>
    <n v="2649.88"/>
    <x v="0"/>
    <x v="2"/>
    <d v="2024-01-10T00:00:00"/>
    <x v="7"/>
    <x v="1"/>
    <x v="0"/>
    <n v="2278.8968"/>
    <n v="2278.8968"/>
    <n v="0"/>
  </r>
  <r>
    <x v="695"/>
    <x v="0"/>
    <d v="2023-05-28T00:00:00"/>
    <d v="2023-06-27T00:00:00"/>
    <n v="2025.22"/>
    <x v="2"/>
    <x v="0"/>
    <s v="Pending"/>
    <x v="98"/>
    <x v="0"/>
    <x v="0"/>
    <n v="1518.915"/>
    <n v="0"/>
    <n v="1518.915"/>
  </r>
  <r>
    <x v="696"/>
    <x v="1"/>
    <d v="2025-05-02T00:00:00"/>
    <d v="2025-06-01T00:00:00"/>
    <n v="2110.4899999999998"/>
    <x v="2"/>
    <x v="2"/>
    <d v="2025-06-01T00:00:00"/>
    <x v="7"/>
    <x v="1"/>
    <x v="0"/>
    <n v="1582.8674999999998"/>
    <n v="1582.8674999999998"/>
    <n v="0"/>
  </r>
  <r>
    <x v="697"/>
    <x v="1"/>
    <d v="2024-11-28T00:00:00"/>
    <d v="2024-12-28T00:00:00"/>
    <n v="4740.3"/>
    <x v="1"/>
    <x v="2"/>
    <d v="2024-12-28T00:00:00"/>
    <x v="7"/>
    <x v="1"/>
    <x v="0"/>
    <n v="6541.6139999999996"/>
    <n v="6541.6139999999996"/>
    <n v="0"/>
  </r>
  <r>
    <x v="698"/>
    <x v="4"/>
    <d v="2024-10-06T00:00:00"/>
    <d v="2024-11-05T00:00:00"/>
    <n v="2511.0500000000002"/>
    <x v="1"/>
    <x v="1"/>
    <s v="Pending"/>
    <x v="381"/>
    <x v="0"/>
    <x v="0"/>
    <n v="3465.2489999999998"/>
    <n v="1732.6244999999999"/>
    <n v="1732.6244999999999"/>
  </r>
  <r>
    <x v="699"/>
    <x v="1"/>
    <d v="2024-06-16T00:00:00"/>
    <d v="2024-07-16T00:00:00"/>
    <n v="1198.06"/>
    <x v="3"/>
    <x v="0"/>
    <s v="Pending"/>
    <x v="382"/>
    <x v="0"/>
    <x v="0"/>
    <n v="1198.06"/>
    <n v="0"/>
    <n v="1198.06"/>
  </r>
  <r>
    <x v="700"/>
    <x v="2"/>
    <d v="2024-12-01T00:00:00"/>
    <d v="2024-12-31T00:00:00"/>
    <n v="4648.54"/>
    <x v="3"/>
    <x v="1"/>
    <s v="Pending"/>
    <x v="383"/>
    <x v="0"/>
    <x v="0"/>
    <n v="4648.54"/>
    <n v="2324.27"/>
    <n v="2324.27"/>
  </r>
  <r>
    <x v="701"/>
    <x v="3"/>
    <d v="2024-04-09T00:00:00"/>
    <d v="2024-05-09T00:00:00"/>
    <n v="1123.9000000000001"/>
    <x v="3"/>
    <x v="0"/>
    <s v="Pending"/>
    <x v="384"/>
    <x v="0"/>
    <x v="0"/>
    <n v="1123.9000000000001"/>
    <n v="0"/>
    <n v="1123.9000000000001"/>
  </r>
  <r>
    <x v="702"/>
    <x v="0"/>
    <d v="2023-12-11T00:00:00"/>
    <d v="2024-01-10T00:00:00"/>
    <n v="137.11000000000001"/>
    <x v="3"/>
    <x v="1"/>
    <s v="Pending"/>
    <x v="366"/>
    <x v="0"/>
    <x v="0"/>
    <n v="137.11000000000001"/>
    <n v="68.555000000000007"/>
    <n v="68.555000000000007"/>
  </r>
  <r>
    <x v="703"/>
    <x v="0"/>
    <d v="2024-06-02T00:00:00"/>
    <d v="2024-07-02T00:00:00"/>
    <n v="1824.99"/>
    <x v="0"/>
    <x v="2"/>
    <d v="2024-07-02T00:00:00"/>
    <x v="7"/>
    <x v="1"/>
    <x v="0"/>
    <n v="1569.4913999999999"/>
    <n v="1569.4913999999999"/>
    <n v="0"/>
  </r>
  <r>
    <x v="704"/>
    <x v="3"/>
    <d v="2023-06-02T00:00:00"/>
    <d v="2023-07-02T00:00:00"/>
    <n v="3916.78"/>
    <x v="2"/>
    <x v="1"/>
    <s v="Pending"/>
    <x v="385"/>
    <x v="0"/>
    <x v="0"/>
    <n v="2937.585"/>
    <n v="1468.7925"/>
    <n v="1468.7925"/>
  </r>
  <r>
    <x v="705"/>
    <x v="2"/>
    <d v="2023-06-14T00:00:00"/>
    <d v="2023-07-14T00:00:00"/>
    <n v="4748.8999999999996"/>
    <x v="4"/>
    <x v="1"/>
    <s v="Pending"/>
    <x v="89"/>
    <x v="0"/>
    <x v="0"/>
    <n v="6885.9049999999988"/>
    <n v="3442.9524999999994"/>
    <n v="3442.9524999999994"/>
  </r>
  <r>
    <x v="706"/>
    <x v="4"/>
    <d v="2025-04-23T00:00:00"/>
    <d v="2025-05-23T00:00:00"/>
    <n v="2620.19"/>
    <x v="0"/>
    <x v="0"/>
    <s v="Pending"/>
    <x v="386"/>
    <x v="2"/>
    <x v="0"/>
    <n v="2253.3634000000002"/>
    <n v="0"/>
    <n v="2253.3634000000002"/>
  </r>
  <r>
    <x v="707"/>
    <x v="1"/>
    <d v="2023-03-05T00:00:00"/>
    <d v="2023-04-04T00:00:00"/>
    <n v="3038.06"/>
    <x v="4"/>
    <x v="0"/>
    <s v="Pending"/>
    <x v="119"/>
    <x v="0"/>
    <x v="0"/>
    <n v="4405.1869999999999"/>
    <n v="0"/>
    <n v="4405.1869999999999"/>
  </r>
  <r>
    <x v="708"/>
    <x v="1"/>
    <d v="2023-12-15T00:00:00"/>
    <d v="2024-01-14T00:00:00"/>
    <n v="1309.8800000000001"/>
    <x v="0"/>
    <x v="2"/>
    <d v="2024-01-14T00:00:00"/>
    <x v="7"/>
    <x v="1"/>
    <x v="0"/>
    <n v="1126.4968000000001"/>
    <n v="1126.4968000000001"/>
    <n v="0"/>
  </r>
  <r>
    <x v="709"/>
    <x v="2"/>
    <d v="2023-04-12T00:00:00"/>
    <d v="2023-05-12T00:00:00"/>
    <n v="3542.51"/>
    <x v="2"/>
    <x v="2"/>
    <d v="2023-05-12T00:00:00"/>
    <x v="7"/>
    <x v="1"/>
    <x v="0"/>
    <n v="2656.8825000000002"/>
    <n v="2656.8825000000002"/>
    <n v="0"/>
  </r>
  <r>
    <x v="710"/>
    <x v="0"/>
    <d v="2023-03-01T00:00:00"/>
    <d v="2023-03-31T00:00:00"/>
    <n v="1785.99"/>
    <x v="4"/>
    <x v="1"/>
    <s v="Pending"/>
    <x v="387"/>
    <x v="0"/>
    <x v="0"/>
    <n v="2589.6855"/>
    <n v="1294.84275"/>
    <n v="1294.84275"/>
  </r>
  <r>
    <x v="711"/>
    <x v="1"/>
    <d v="2023-08-20T00:00:00"/>
    <d v="2023-09-19T00:00:00"/>
    <n v="2979.86"/>
    <x v="1"/>
    <x v="2"/>
    <d v="2023-09-19T00:00:00"/>
    <x v="7"/>
    <x v="1"/>
    <x v="0"/>
    <n v="4112.2067999999999"/>
    <n v="4112.2067999999999"/>
    <n v="0"/>
  </r>
  <r>
    <x v="712"/>
    <x v="3"/>
    <d v="2023-08-16T00:00:00"/>
    <d v="2023-09-15T00:00:00"/>
    <n v="3891.24"/>
    <x v="2"/>
    <x v="1"/>
    <s v="Pending"/>
    <x v="101"/>
    <x v="0"/>
    <x v="0"/>
    <n v="2918.43"/>
    <n v="1459.2149999999999"/>
    <n v="1459.2149999999999"/>
  </r>
  <r>
    <x v="713"/>
    <x v="1"/>
    <d v="2025-02-10T00:00:00"/>
    <d v="2025-03-12T00:00:00"/>
    <n v="4674.42"/>
    <x v="3"/>
    <x v="2"/>
    <d v="2025-03-12T00:00:00"/>
    <x v="7"/>
    <x v="1"/>
    <x v="0"/>
    <n v="4674.42"/>
    <n v="4674.42"/>
    <n v="0"/>
  </r>
  <r>
    <x v="714"/>
    <x v="0"/>
    <d v="2024-06-21T00:00:00"/>
    <d v="2024-07-21T00:00:00"/>
    <n v="2370.71"/>
    <x v="2"/>
    <x v="1"/>
    <s v="Pending"/>
    <x v="237"/>
    <x v="0"/>
    <x v="0"/>
    <n v="1778.0325"/>
    <n v="889.01625000000001"/>
    <n v="889.01625000000001"/>
  </r>
  <r>
    <x v="715"/>
    <x v="0"/>
    <d v="2023-08-30T00:00:00"/>
    <d v="2023-09-29T00:00:00"/>
    <n v="2872.68"/>
    <x v="4"/>
    <x v="1"/>
    <s v="Pending"/>
    <x v="388"/>
    <x v="0"/>
    <x v="0"/>
    <n v="4165.3859999999995"/>
    <n v="2082.6929999999998"/>
    <n v="2082.6929999999998"/>
  </r>
  <r>
    <x v="716"/>
    <x v="4"/>
    <d v="2023-11-16T00:00:00"/>
    <d v="2023-12-16T00:00:00"/>
    <n v="1865.16"/>
    <x v="1"/>
    <x v="1"/>
    <s v="Pending"/>
    <x v="389"/>
    <x v="0"/>
    <x v="0"/>
    <n v="2573.9207999999999"/>
    <n v="1286.9603999999999"/>
    <n v="1286.9603999999999"/>
  </r>
  <r>
    <x v="717"/>
    <x v="1"/>
    <d v="2023-03-20T00:00:00"/>
    <d v="2023-04-19T00:00:00"/>
    <n v="2554.81"/>
    <x v="4"/>
    <x v="2"/>
    <d v="2023-04-19T00:00:00"/>
    <x v="7"/>
    <x v="1"/>
    <x v="0"/>
    <n v="3704.4744999999998"/>
    <n v="3704.4744999999998"/>
    <n v="0"/>
  </r>
  <r>
    <x v="718"/>
    <x v="0"/>
    <d v="2024-11-19T00:00:00"/>
    <d v="2024-12-19T00:00:00"/>
    <n v="4346.0600000000004"/>
    <x v="2"/>
    <x v="2"/>
    <d v="2024-12-19T00:00:00"/>
    <x v="7"/>
    <x v="1"/>
    <x v="0"/>
    <n v="3259.5450000000001"/>
    <n v="3259.5450000000001"/>
    <n v="0"/>
  </r>
  <r>
    <x v="719"/>
    <x v="0"/>
    <d v="2024-02-14T00:00:00"/>
    <d v="2024-03-15T00:00:00"/>
    <n v="3898.42"/>
    <x v="2"/>
    <x v="2"/>
    <d v="2024-03-15T00:00:00"/>
    <x v="7"/>
    <x v="1"/>
    <x v="0"/>
    <n v="2923.8150000000001"/>
    <n v="2923.8150000000001"/>
    <n v="0"/>
  </r>
  <r>
    <x v="720"/>
    <x v="4"/>
    <d v="2024-07-11T00:00:00"/>
    <d v="2024-08-10T00:00:00"/>
    <n v="4765.16"/>
    <x v="0"/>
    <x v="0"/>
    <s v="Pending"/>
    <x v="390"/>
    <x v="0"/>
    <x v="0"/>
    <n v="4098.0375999999997"/>
    <n v="0"/>
    <n v="4098.0375999999997"/>
  </r>
  <r>
    <x v="721"/>
    <x v="2"/>
    <d v="2024-07-14T00:00:00"/>
    <d v="2024-08-13T00:00:00"/>
    <n v="1994.49"/>
    <x v="0"/>
    <x v="0"/>
    <s v="Pending"/>
    <x v="179"/>
    <x v="0"/>
    <x v="0"/>
    <n v="1715.2614000000001"/>
    <n v="0"/>
    <n v="1715.2614000000001"/>
  </r>
  <r>
    <x v="722"/>
    <x v="1"/>
    <d v="2023-03-04T00:00:00"/>
    <d v="2023-04-03T00:00:00"/>
    <n v="4230.24"/>
    <x v="2"/>
    <x v="0"/>
    <s v="Pending"/>
    <x v="391"/>
    <x v="0"/>
    <x v="0"/>
    <n v="3172.68"/>
    <n v="0"/>
    <n v="3172.68"/>
  </r>
  <r>
    <x v="723"/>
    <x v="2"/>
    <d v="2024-09-21T00:00:00"/>
    <d v="2024-10-21T00:00:00"/>
    <n v="1606.15"/>
    <x v="1"/>
    <x v="1"/>
    <s v="Pending"/>
    <x v="392"/>
    <x v="0"/>
    <x v="0"/>
    <n v="2216.4870000000001"/>
    <n v="1108.2435"/>
    <n v="1108.2435"/>
  </r>
  <r>
    <x v="724"/>
    <x v="3"/>
    <d v="2024-09-27T00:00:00"/>
    <d v="2024-10-27T00:00:00"/>
    <n v="158.24"/>
    <x v="4"/>
    <x v="0"/>
    <s v="Pending"/>
    <x v="393"/>
    <x v="0"/>
    <x v="0"/>
    <n v="229.44800000000001"/>
    <n v="0"/>
    <n v="229.44800000000001"/>
  </r>
  <r>
    <x v="725"/>
    <x v="1"/>
    <d v="2023-07-23T00:00:00"/>
    <d v="2023-08-22T00:00:00"/>
    <n v="4538.8900000000003"/>
    <x v="1"/>
    <x v="2"/>
    <d v="2023-08-22T00:00:00"/>
    <x v="7"/>
    <x v="1"/>
    <x v="0"/>
    <n v="6263.6682000000001"/>
    <n v="6263.6682000000001"/>
    <n v="0"/>
  </r>
  <r>
    <x v="726"/>
    <x v="4"/>
    <d v="2024-11-07T00:00:00"/>
    <d v="2024-12-07T00:00:00"/>
    <n v="204.27"/>
    <x v="0"/>
    <x v="0"/>
    <s v="Pending"/>
    <x v="394"/>
    <x v="0"/>
    <x v="0"/>
    <n v="175.6722"/>
    <n v="0"/>
    <n v="175.6722"/>
  </r>
  <r>
    <x v="727"/>
    <x v="2"/>
    <d v="2023-07-20T00:00:00"/>
    <d v="2023-08-19T00:00:00"/>
    <n v="3257.13"/>
    <x v="2"/>
    <x v="1"/>
    <s v="Pending"/>
    <x v="395"/>
    <x v="0"/>
    <x v="0"/>
    <n v="2442.8474999999999"/>
    <n v="1221.4237499999999"/>
    <n v="1221.4237499999999"/>
  </r>
  <r>
    <x v="728"/>
    <x v="0"/>
    <d v="2024-10-10T00:00:00"/>
    <d v="2024-11-09T00:00:00"/>
    <n v="488.64"/>
    <x v="4"/>
    <x v="2"/>
    <d v="2024-11-09T00:00:00"/>
    <x v="7"/>
    <x v="1"/>
    <x v="0"/>
    <n v="708.52799999999991"/>
    <n v="708.52799999999991"/>
    <n v="0"/>
  </r>
  <r>
    <x v="729"/>
    <x v="2"/>
    <d v="2023-11-09T00:00:00"/>
    <d v="2023-12-09T00:00:00"/>
    <n v="2790.33"/>
    <x v="2"/>
    <x v="1"/>
    <s v="Pending"/>
    <x v="396"/>
    <x v="0"/>
    <x v="0"/>
    <n v="2092.7474999999999"/>
    <n v="1046.37375"/>
    <n v="1046.37375"/>
  </r>
  <r>
    <x v="730"/>
    <x v="0"/>
    <d v="2023-09-18T00:00:00"/>
    <d v="2023-10-18T00:00:00"/>
    <n v="1246.1199999999999"/>
    <x v="1"/>
    <x v="1"/>
    <s v="Pending"/>
    <x v="397"/>
    <x v="0"/>
    <x v="0"/>
    <n v="1719.6455999999996"/>
    <n v="859.8227999999998"/>
    <n v="859.8227999999998"/>
  </r>
  <r>
    <x v="731"/>
    <x v="1"/>
    <d v="2024-06-28T00:00:00"/>
    <d v="2024-07-28T00:00:00"/>
    <n v="2390.31"/>
    <x v="3"/>
    <x v="0"/>
    <s v="Pending"/>
    <x v="318"/>
    <x v="0"/>
    <x v="0"/>
    <n v="2390.31"/>
    <n v="0"/>
    <n v="2390.31"/>
  </r>
  <r>
    <x v="732"/>
    <x v="2"/>
    <d v="2024-01-12T00:00:00"/>
    <d v="2024-02-11T00:00:00"/>
    <n v="3697.86"/>
    <x v="0"/>
    <x v="1"/>
    <s v="Pending"/>
    <x v="398"/>
    <x v="0"/>
    <x v="0"/>
    <n v="3180.1596"/>
    <n v="1590.0798"/>
    <n v="1590.0798"/>
  </r>
  <r>
    <x v="733"/>
    <x v="0"/>
    <d v="2025-05-27T00:00:00"/>
    <d v="2025-06-26T00:00:00"/>
    <n v="3404.52"/>
    <x v="2"/>
    <x v="0"/>
    <s v="Pending"/>
    <x v="399"/>
    <x v="2"/>
    <x v="0"/>
    <n v="2553.39"/>
    <n v="0"/>
    <n v="2553.39"/>
  </r>
  <r>
    <x v="734"/>
    <x v="2"/>
    <d v="2025-02-21T00:00:00"/>
    <d v="2025-03-23T00:00:00"/>
    <n v="3730.17"/>
    <x v="2"/>
    <x v="0"/>
    <s v="Pending"/>
    <x v="400"/>
    <x v="0"/>
    <x v="0"/>
    <n v="2797.6275000000001"/>
    <n v="0"/>
    <n v="2797.6275000000001"/>
  </r>
  <r>
    <x v="735"/>
    <x v="4"/>
    <d v="2025-04-25T00:00:00"/>
    <d v="2025-05-25T00:00:00"/>
    <n v="199.45"/>
    <x v="4"/>
    <x v="1"/>
    <s v="Pending"/>
    <x v="151"/>
    <x v="2"/>
    <x v="0"/>
    <n v="289.20249999999999"/>
    <n v="144.60124999999999"/>
    <n v="144.60124999999999"/>
  </r>
  <r>
    <x v="736"/>
    <x v="2"/>
    <d v="2024-12-20T00:00:00"/>
    <d v="2025-01-19T00:00:00"/>
    <n v="4466.8"/>
    <x v="4"/>
    <x v="0"/>
    <s v="Pending"/>
    <x v="6"/>
    <x v="0"/>
    <x v="0"/>
    <n v="6476.86"/>
    <n v="0"/>
    <n v="6476.86"/>
  </r>
  <r>
    <x v="737"/>
    <x v="3"/>
    <d v="2025-05-28T00:00:00"/>
    <d v="2025-06-27T00:00:00"/>
    <n v="4368.08"/>
    <x v="2"/>
    <x v="2"/>
    <d v="2025-06-27T00:00:00"/>
    <x v="7"/>
    <x v="1"/>
    <x v="0"/>
    <n v="3276.06"/>
    <n v="3276.06"/>
    <n v="0"/>
  </r>
  <r>
    <x v="738"/>
    <x v="0"/>
    <d v="2023-12-09T00:00:00"/>
    <d v="2024-01-08T00:00:00"/>
    <n v="2910.39"/>
    <x v="0"/>
    <x v="2"/>
    <d v="2024-01-08T00:00:00"/>
    <x v="7"/>
    <x v="1"/>
    <x v="0"/>
    <n v="2502.9353999999998"/>
    <n v="2502.9353999999998"/>
    <n v="0"/>
  </r>
  <r>
    <x v="739"/>
    <x v="1"/>
    <d v="2023-03-22T00:00:00"/>
    <d v="2023-04-21T00:00:00"/>
    <n v="3087.9"/>
    <x v="1"/>
    <x v="2"/>
    <d v="2023-04-21T00:00:00"/>
    <x v="7"/>
    <x v="1"/>
    <x v="0"/>
    <n v="4261.3019999999997"/>
    <n v="4261.3019999999997"/>
    <n v="0"/>
  </r>
  <r>
    <x v="740"/>
    <x v="2"/>
    <d v="2023-09-14T00:00:00"/>
    <d v="2023-10-14T00:00:00"/>
    <n v="3956.78"/>
    <x v="1"/>
    <x v="2"/>
    <d v="2023-10-14T00:00:00"/>
    <x v="7"/>
    <x v="1"/>
    <x v="0"/>
    <n v="5460.3563999999997"/>
    <n v="5460.3563999999997"/>
    <n v="0"/>
  </r>
  <r>
    <x v="741"/>
    <x v="1"/>
    <d v="2023-10-23T00:00:00"/>
    <d v="2023-11-22T00:00:00"/>
    <n v="1173.72"/>
    <x v="1"/>
    <x v="2"/>
    <d v="2023-11-22T00:00:00"/>
    <x v="7"/>
    <x v="1"/>
    <x v="0"/>
    <n v="1619.7336"/>
    <n v="1619.7336"/>
    <n v="0"/>
  </r>
  <r>
    <x v="742"/>
    <x v="1"/>
    <d v="2024-03-08T00:00:00"/>
    <d v="2024-04-07T00:00:00"/>
    <n v="3885.28"/>
    <x v="2"/>
    <x v="2"/>
    <d v="2024-04-07T00:00:00"/>
    <x v="7"/>
    <x v="1"/>
    <x v="0"/>
    <n v="2913.96"/>
    <n v="2913.96"/>
    <n v="0"/>
  </r>
  <r>
    <x v="743"/>
    <x v="3"/>
    <d v="2023-12-08T00:00:00"/>
    <d v="2024-01-07T00:00:00"/>
    <n v="211.34"/>
    <x v="3"/>
    <x v="0"/>
    <s v="Pending"/>
    <x v="209"/>
    <x v="0"/>
    <x v="0"/>
    <n v="211.34"/>
    <n v="0"/>
    <n v="211.34"/>
  </r>
  <r>
    <x v="744"/>
    <x v="4"/>
    <d v="2023-02-26T00:00:00"/>
    <d v="2023-03-28T00:00:00"/>
    <n v="1345.89"/>
    <x v="4"/>
    <x v="2"/>
    <d v="2023-03-28T00:00:00"/>
    <x v="7"/>
    <x v="1"/>
    <x v="0"/>
    <n v="1951.5405000000001"/>
    <n v="1951.5405000000001"/>
    <n v="0"/>
  </r>
  <r>
    <x v="745"/>
    <x v="2"/>
    <d v="2023-12-23T00:00:00"/>
    <d v="2024-01-22T00:00:00"/>
    <n v="4777.7299999999996"/>
    <x v="0"/>
    <x v="1"/>
    <s v="Pending"/>
    <x v="401"/>
    <x v="0"/>
    <x v="0"/>
    <n v="4108.8477999999996"/>
    <n v="2054.4238999999998"/>
    <n v="2054.4238999999998"/>
  </r>
  <r>
    <x v="746"/>
    <x v="0"/>
    <d v="2023-09-25T00:00:00"/>
    <d v="2023-10-25T00:00:00"/>
    <n v="3137.33"/>
    <x v="4"/>
    <x v="0"/>
    <s v="Pending"/>
    <x v="402"/>
    <x v="0"/>
    <x v="0"/>
    <n v="4549.1284999999998"/>
    <n v="0"/>
    <n v="4549.1284999999998"/>
  </r>
  <r>
    <x v="747"/>
    <x v="3"/>
    <d v="2024-07-15T00:00:00"/>
    <d v="2024-08-14T00:00:00"/>
    <n v="4831.5200000000004"/>
    <x v="0"/>
    <x v="1"/>
    <s v="Pending"/>
    <x v="403"/>
    <x v="0"/>
    <x v="0"/>
    <n v="4155.1072000000004"/>
    <n v="2077.5536000000002"/>
    <n v="2077.5536000000002"/>
  </r>
  <r>
    <x v="748"/>
    <x v="0"/>
    <d v="2024-01-30T00:00:00"/>
    <d v="2024-02-29T00:00:00"/>
    <n v="1343.46"/>
    <x v="1"/>
    <x v="1"/>
    <s v="Pending"/>
    <x v="208"/>
    <x v="0"/>
    <x v="0"/>
    <n v="1853.9748"/>
    <n v="926.98739999999998"/>
    <n v="926.98739999999998"/>
  </r>
  <r>
    <x v="749"/>
    <x v="0"/>
    <d v="2023-03-08T00:00:00"/>
    <d v="2023-04-07T00:00:00"/>
    <n v="3815.88"/>
    <x v="1"/>
    <x v="1"/>
    <s v="Pending"/>
    <x v="197"/>
    <x v="0"/>
    <x v="0"/>
    <n v="5265.9143999999997"/>
    <n v="2632.9571999999998"/>
    <n v="2632.9571999999998"/>
  </r>
  <r>
    <x v="750"/>
    <x v="2"/>
    <d v="2023-05-08T00:00:00"/>
    <d v="2023-06-07T00:00:00"/>
    <n v="3428.98"/>
    <x v="2"/>
    <x v="2"/>
    <d v="2023-06-07T00:00:00"/>
    <x v="7"/>
    <x v="1"/>
    <x v="0"/>
    <n v="2571.7350000000001"/>
    <n v="2571.7350000000001"/>
    <n v="0"/>
  </r>
  <r>
    <x v="751"/>
    <x v="0"/>
    <d v="2024-04-13T00:00:00"/>
    <d v="2024-05-13T00:00:00"/>
    <n v="1265.55"/>
    <x v="2"/>
    <x v="1"/>
    <s v="Pending"/>
    <x v="206"/>
    <x v="0"/>
    <x v="0"/>
    <n v="949.16249999999991"/>
    <n v="474.58124999999995"/>
    <n v="474.58124999999995"/>
  </r>
  <r>
    <x v="752"/>
    <x v="3"/>
    <d v="2023-12-02T00:00:00"/>
    <d v="2024-01-01T00:00:00"/>
    <n v="1377.49"/>
    <x v="4"/>
    <x v="2"/>
    <d v="2024-01-01T00:00:00"/>
    <x v="7"/>
    <x v="1"/>
    <x v="0"/>
    <n v="1997.3605"/>
    <n v="1997.3605"/>
    <n v="0"/>
  </r>
  <r>
    <x v="753"/>
    <x v="0"/>
    <d v="2024-08-31T00:00:00"/>
    <d v="2024-09-30T00:00:00"/>
    <n v="2125.3000000000002"/>
    <x v="0"/>
    <x v="1"/>
    <s v="Pending"/>
    <x v="404"/>
    <x v="0"/>
    <x v="0"/>
    <n v="1827.758"/>
    <n v="913.87900000000002"/>
    <n v="913.87900000000002"/>
  </r>
  <r>
    <x v="754"/>
    <x v="1"/>
    <d v="2024-04-26T00:00:00"/>
    <d v="2024-05-26T00:00:00"/>
    <n v="2582.08"/>
    <x v="2"/>
    <x v="2"/>
    <d v="2024-05-26T00:00:00"/>
    <x v="7"/>
    <x v="1"/>
    <x v="0"/>
    <n v="1936.56"/>
    <n v="1936.56"/>
    <n v="0"/>
  </r>
  <r>
    <x v="755"/>
    <x v="4"/>
    <d v="2025-02-19T00:00:00"/>
    <d v="2025-03-21T00:00:00"/>
    <n v="1722.33"/>
    <x v="2"/>
    <x v="2"/>
    <d v="2025-03-21T00:00:00"/>
    <x v="7"/>
    <x v="1"/>
    <x v="0"/>
    <n v="1291.7474999999999"/>
    <n v="1291.7474999999999"/>
    <n v="0"/>
  </r>
  <r>
    <x v="756"/>
    <x v="4"/>
    <d v="2024-11-17T00:00:00"/>
    <d v="2024-12-17T00:00:00"/>
    <n v="4374.09"/>
    <x v="0"/>
    <x v="1"/>
    <s v="Pending"/>
    <x v="405"/>
    <x v="0"/>
    <x v="0"/>
    <n v="3761.7174"/>
    <n v="1880.8587"/>
    <n v="1880.8587"/>
  </r>
  <r>
    <x v="757"/>
    <x v="0"/>
    <d v="2023-08-24T00:00:00"/>
    <d v="2023-09-23T00:00:00"/>
    <n v="3289.59"/>
    <x v="1"/>
    <x v="0"/>
    <s v="Pending"/>
    <x v="37"/>
    <x v="0"/>
    <x v="0"/>
    <n v="4539.6341999999995"/>
    <n v="0"/>
    <n v="4539.6341999999995"/>
  </r>
  <r>
    <x v="758"/>
    <x v="2"/>
    <d v="2024-01-10T00:00:00"/>
    <d v="2024-02-09T00:00:00"/>
    <n v="2204.2800000000002"/>
    <x v="3"/>
    <x v="2"/>
    <d v="2024-02-09T00:00:00"/>
    <x v="7"/>
    <x v="1"/>
    <x v="0"/>
    <n v="2204.2800000000002"/>
    <n v="2204.2800000000002"/>
    <n v="0"/>
  </r>
  <r>
    <x v="759"/>
    <x v="2"/>
    <d v="2024-02-18T00:00:00"/>
    <d v="2024-03-19T00:00:00"/>
    <n v="3457.45"/>
    <x v="2"/>
    <x v="0"/>
    <s v="Pending"/>
    <x v="406"/>
    <x v="0"/>
    <x v="0"/>
    <n v="2593.0874999999996"/>
    <n v="0"/>
    <n v="2593.0874999999996"/>
  </r>
  <r>
    <x v="760"/>
    <x v="4"/>
    <d v="2023-05-08T00:00:00"/>
    <d v="2023-06-07T00:00:00"/>
    <n v="2571.9"/>
    <x v="3"/>
    <x v="2"/>
    <d v="2023-06-07T00:00:00"/>
    <x v="7"/>
    <x v="1"/>
    <x v="0"/>
    <n v="2571.9"/>
    <n v="2571.9"/>
    <n v="0"/>
  </r>
  <r>
    <x v="761"/>
    <x v="0"/>
    <d v="2024-11-22T00:00:00"/>
    <d v="2024-12-22T00:00:00"/>
    <n v="2573.94"/>
    <x v="0"/>
    <x v="2"/>
    <d v="2024-12-22T00:00:00"/>
    <x v="7"/>
    <x v="1"/>
    <x v="0"/>
    <n v="2213.5884000000001"/>
    <n v="2213.5884000000001"/>
    <n v="0"/>
  </r>
  <r>
    <x v="762"/>
    <x v="0"/>
    <d v="2025-01-22T00:00:00"/>
    <d v="2025-02-21T00:00:00"/>
    <n v="3760.26"/>
    <x v="3"/>
    <x v="0"/>
    <s v="Pending"/>
    <x v="194"/>
    <x v="0"/>
    <x v="0"/>
    <n v="3760.26"/>
    <n v="0"/>
    <n v="3760.26"/>
  </r>
  <r>
    <x v="763"/>
    <x v="4"/>
    <d v="2024-04-03T00:00:00"/>
    <d v="2024-05-03T00:00:00"/>
    <n v="645.44000000000005"/>
    <x v="3"/>
    <x v="2"/>
    <d v="2024-05-03T00:00:00"/>
    <x v="7"/>
    <x v="1"/>
    <x v="0"/>
    <n v="645.44000000000005"/>
    <n v="645.44000000000005"/>
    <n v="0"/>
  </r>
  <r>
    <x v="764"/>
    <x v="4"/>
    <d v="2023-08-10T00:00:00"/>
    <d v="2023-09-09T00:00:00"/>
    <n v="948.66"/>
    <x v="2"/>
    <x v="2"/>
    <d v="2023-09-09T00:00:00"/>
    <x v="7"/>
    <x v="1"/>
    <x v="0"/>
    <n v="711.495"/>
    <n v="711.495"/>
    <n v="0"/>
  </r>
  <r>
    <x v="765"/>
    <x v="4"/>
    <d v="2023-05-24T00:00:00"/>
    <d v="2023-06-23T00:00:00"/>
    <n v="4936.8"/>
    <x v="4"/>
    <x v="2"/>
    <d v="2023-06-23T00:00:00"/>
    <x v="7"/>
    <x v="1"/>
    <x v="0"/>
    <n v="7158.36"/>
    <n v="7158.36"/>
    <n v="0"/>
  </r>
  <r>
    <x v="766"/>
    <x v="2"/>
    <d v="2023-03-03T00:00:00"/>
    <d v="2023-04-02T00:00:00"/>
    <n v="4286.67"/>
    <x v="3"/>
    <x v="2"/>
    <d v="2023-04-02T00:00:00"/>
    <x v="7"/>
    <x v="1"/>
    <x v="0"/>
    <n v="4286.67"/>
    <n v="4286.67"/>
    <n v="0"/>
  </r>
  <r>
    <x v="767"/>
    <x v="1"/>
    <d v="2023-12-03T00:00:00"/>
    <d v="2024-01-02T00:00:00"/>
    <n v="4346.29"/>
    <x v="2"/>
    <x v="1"/>
    <s v="Pending"/>
    <x v="407"/>
    <x v="0"/>
    <x v="0"/>
    <n v="3259.7174999999997"/>
    <n v="1629.8587499999999"/>
    <n v="1629.8587499999999"/>
  </r>
  <r>
    <x v="768"/>
    <x v="1"/>
    <d v="2025-01-02T00:00:00"/>
    <d v="2025-02-01T00:00:00"/>
    <n v="2978.71"/>
    <x v="2"/>
    <x v="1"/>
    <s v="Pending"/>
    <x v="408"/>
    <x v="0"/>
    <x v="0"/>
    <n v="2234.0325000000003"/>
    <n v="1117.0162500000001"/>
    <n v="1117.0162500000001"/>
  </r>
  <r>
    <x v="769"/>
    <x v="2"/>
    <d v="2025-04-05T00:00:00"/>
    <d v="2025-05-05T00:00:00"/>
    <n v="3489.97"/>
    <x v="1"/>
    <x v="0"/>
    <s v="Pending"/>
    <x v="183"/>
    <x v="2"/>
    <x v="0"/>
    <n v="4816.1585999999998"/>
    <n v="0"/>
    <n v="4816.1585999999998"/>
  </r>
  <r>
    <x v="770"/>
    <x v="3"/>
    <d v="2024-12-22T00:00:00"/>
    <d v="2025-01-21T00:00:00"/>
    <n v="290.89999999999998"/>
    <x v="0"/>
    <x v="0"/>
    <s v="Pending"/>
    <x v="265"/>
    <x v="0"/>
    <x v="0"/>
    <n v="250.17399999999998"/>
    <n v="0"/>
    <n v="250.17399999999998"/>
  </r>
  <r>
    <x v="771"/>
    <x v="4"/>
    <d v="2025-03-09T00:00:00"/>
    <d v="2025-04-08T00:00:00"/>
    <n v="2592.92"/>
    <x v="2"/>
    <x v="1"/>
    <s v="Pending"/>
    <x v="42"/>
    <x v="2"/>
    <x v="0"/>
    <n v="1944.69"/>
    <n v="972.34500000000003"/>
    <n v="972.34500000000003"/>
  </r>
  <r>
    <x v="772"/>
    <x v="2"/>
    <d v="2024-08-01T00:00:00"/>
    <d v="2024-08-31T00:00:00"/>
    <n v="4904.8599999999997"/>
    <x v="1"/>
    <x v="0"/>
    <s v="Pending"/>
    <x v="409"/>
    <x v="0"/>
    <x v="0"/>
    <n v="6768.706799999999"/>
    <n v="0"/>
    <n v="6768.706799999999"/>
  </r>
  <r>
    <x v="773"/>
    <x v="2"/>
    <d v="2025-03-22T00:00:00"/>
    <d v="2025-04-21T00:00:00"/>
    <n v="2807.72"/>
    <x v="2"/>
    <x v="1"/>
    <s v="Pending"/>
    <x v="320"/>
    <x v="2"/>
    <x v="0"/>
    <n v="2105.79"/>
    <n v="1052.895"/>
    <n v="1052.895"/>
  </r>
  <r>
    <x v="774"/>
    <x v="3"/>
    <d v="2025-02-28T00:00:00"/>
    <d v="2025-03-30T00:00:00"/>
    <n v="3910.59"/>
    <x v="0"/>
    <x v="0"/>
    <s v="Pending"/>
    <x v="410"/>
    <x v="2"/>
    <x v="0"/>
    <n v="3363.1073999999999"/>
    <n v="0"/>
    <n v="3363.1073999999999"/>
  </r>
  <r>
    <x v="775"/>
    <x v="3"/>
    <d v="2023-06-06T00:00:00"/>
    <d v="2023-07-06T00:00:00"/>
    <n v="1583.9"/>
    <x v="0"/>
    <x v="1"/>
    <s v="Pending"/>
    <x v="411"/>
    <x v="0"/>
    <x v="0"/>
    <n v="1362.154"/>
    <n v="681.077"/>
    <n v="681.077"/>
  </r>
  <r>
    <x v="776"/>
    <x v="0"/>
    <d v="2025-03-07T00:00:00"/>
    <d v="2025-04-06T00:00:00"/>
    <n v="734.99"/>
    <x v="2"/>
    <x v="1"/>
    <s v="Pending"/>
    <x v="131"/>
    <x v="2"/>
    <x v="0"/>
    <n v="551.24250000000006"/>
    <n v="275.62125000000003"/>
    <n v="275.62125000000003"/>
  </r>
  <r>
    <x v="777"/>
    <x v="2"/>
    <d v="2024-01-24T00:00:00"/>
    <d v="2024-02-23T00:00:00"/>
    <n v="2547.7800000000002"/>
    <x v="4"/>
    <x v="0"/>
    <s v="Pending"/>
    <x v="153"/>
    <x v="0"/>
    <x v="0"/>
    <n v="3694.2810000000004"/>
    <n v="0"/>
    <n v="3694.2810000000004"/>
  </r>
  <r>
    <x v="778"/>
    <x v="2"/>
    <d v="2024-11-12T00:00:00"/>
    <d v="2024-12-12T00:00:00"/>
    <n v="4777.6400000000003"/>
    <x v="4"/>
    <x v="1"/>
    <s v="Pending"/>
    <x v="412"/>
    <x v="0"/>
    <x v="0"/>
    <n v="6927.5780000000004"/>
    <n v="3463.7890000000002"/>
    <n v="3463.7890000000002"/>
  </r>
  <r>
    <x v="779"/>
    <x v="1"/>
    <d v="2023-11-01T00:00:00"/>
    <d v="2023-12-01T00:00:00"/>
    <n v="791.99"/>
    <x v="2"/>
    <x v="2"/>
    <d v="2023-12-01T00:00:00"/>
    <x v="7"/>
    <x v="1"/>
    <x v="0"/>
    <n v="593.99250000000006"/>
    <n v="593.99250000000006"/>
    <n v="0"/>
  </r>
  <r>
    <x v="780"/>
    <x v="2"/>
    <d v="2024-08-29T00:00:00"/>
    <d v="2024-09-28T00:00:00"/>
    <n v="4963.01"/>
    <x v="3"/>
    <x v="1"/>
    <s v="Pending"/>
    <x v="69"/>
    <x v="0"/>
    <x v="0"/>
    <n v="4963.01"/>
    <n v="2481.5050000000001"/>
    <n v="2481.5050000000001"/>
  </r>
  <r>
    <x v="781"/>
    <x v="0"/>
    <d v="2023-07-19T00:00:00"/>
    <d v="2023-08-18T00:00:00"/>
    <n v="4539.28"/>
    <x v="2"/>
    <x v="2"/>
    <d v="2023-08-18T00:00:00"/>
    <x v="7"/>
    <x v="1"/>
    <x v="0"/>
    <n v="3404.46"/>
    <n v="3404.46"/>
    <n v="0"/>
  </r>
  <r>
    <x v="782"/>
    <x v="1"/>
    <d v="2024-11-19T00:00:00"/>
    <d v="2024-12-19T00:00:00"/>
    <n v="3114.85"/>
    <x v="0"/>
    <x v="1"/>
    <s v="Pending"/>
    <x v="413"/>
    <x v="0"/>
    <x v="0"/>
    <n v="2678.7709999999997"/>
    <n v="1339.3854999999999"/>
    <n v="1339.3854999999999"/>
  </r>
  <r>
    <x v="783"/>
    <x v="3"/>
    <d v="2025-04-21T00:00:00"/>
    <d v="2025-05-21T00:00:00"/>
    <n v="3340.58"/>
    <x v="4"/>
    <x v="2"/>
    <d v="2025-05-21T00:00:00"/>
    <x v="7"/>
    <x v="1"/>
    <x v="0"/>
    <n v="4843.8409999999994"/>
    <n v="4843.8409999999994"/>
    <n v="0"/>
  </r>
  <r>
    <x v="784"/>
    <x v="2"/>
    <d v="2025-04-07T00:00:00"/>
    <d v="2025-05-07T00:00:00"/>
    <n v="4187.3"/>
    <x v="4"/>
    <x v="2"/>
    <d v="2025-05-07T00:00:00"/>
    <x v="7"/>
    <x v="1"/>
    <x v="0"/>
    <n v="6071.585"/>
    <n v="6071.585"/>
    <n v="0"/>
  </r>
  <r>
    <x v="785"/>
    <x v="1"/>
    <d v="2023-11-19T00:00:00"/>
    <d v="2023-12-19T00:00:00"/>
    <n v="4020.64"/>
    <x v="1"/>
    <x v="2"/>
    <d v="2023-12-19T00:00:00"/>
    <x v="7"/>
    <x v="1"/>
    <x v="0"/>
    <n v="5548.4831999999997"/>
    <n v="5548.4831999999997"/>
    <n v="0"/>
  </r>
  <r>
    <x v="786"/>
    <x v="4"/>
    <d v="2025-01-30T00:00:00"/>
    <d v="2025-03-01T00:00:00"/>
    <n v="755.89"/>
    <x v="2"/>
    <x v="1"/>
    <s v="Pending"/>
    <x v="414"/>
    <x v="0"/>
    <x v="0"/>
    <n v="566.91750000000002"/>
    <n v="283.45875000000001"/>
    <n v="283.45875000000001"/>
  </r>
  <r>
    <x v="787"/>
    <x v="2"/>
    <d v="2023-07-08T00:00:00"/>
    <d v="2023-08-07T00:00:00"/>
    <n v="1670.28"/>
    <x v="1"/>
    <x v="2"/>
    <d v="2023-08-07T00:00:00"/>
    <x v="7"/>
    <x v="1"/>
    <x v="0"/>
    <n v="2304.9863999999998"/>
    <n v="2304.9863999999998"/>
    <n v="0"/>
  </r>
  <r>
    <x v="788"/>
    <x v="0"/>
    <d v="2024-09-16T00:00:00"/>
    <d v="2024-10-16T00:00:00"/>
    <n v="4064.87"/>
    <x v="0"/>
    <x v="1"/>
    <s v="Pending"/>
    <x v="415"/>
    <x v="0"/>
    <x v="0"/>
    <n v="3495.7882"/>
    <n v="1747.8941"/>
    <n v="1747.8941"/>
  </r>
  <r>
    <x v="789"/>
    <x v="1"/>
    <d v="2023-02-18T00:00:00"/>
    <d v="2023-03-20T00:00:00"/>
    <n v="4071.09"/>
    <x v="3"/>
    <x v="1"/>
    <s v="Pending"/>
    <x v="416"/>
    <x v="0"/>
    <x v="0"/>
    <n v="4071.09"/>
    <n v="2035.5450000000001"/>
    <n v="2035.5450000000001"/>
  </r>
  <r>
    <x v="790"/>
    <x v="0"/>
    <d v="2025-01-25T00:00:00"/>
    <d v="2025-02-24T00:00:00"/>
    <n v="311.52"/>
    <x v="2"/>
    <x v="0"/>
    <s v="Pending"/>
    <x v="36"/>
    <x v="0"/>
    <x v="0"/>
    <n v="233.64"/>
    <n v="0"/>
    <n v="233.64"/>
  </r>
  <r>
    <x v="791"/>
    <x v="1"/>
    <d v="2024-06-24T00:00:00"/>
    <d v="2024-07-24T00:00:00"/>
    <n v="4351.8"/>
    <x v="4"/>
    <x v="2"/>
    <d v="2024-07-24T00:00:00"/>
    <x v="7"/>
    <x v="1"/>
    <x v="0"/>
    <n v="6310.11"/>
    <n v="6310.11"/>
    <n v="0"/>
  </r>
  <r>
    <x v="792"/>
    <x v="0"/>
    <d v="2024-03-03T00:00:00"/>
    <d v="2024-04-02T00:00:00"/>
    <n v="3524.51"/>
    <x v="2"/>
    <x v="0"/>
    <s v="Pending"/>
    <x v="331"/>
    <x v="0"/>
    <x v="0"/>
    <n v="2643.3825000000002"/>
    <n v="0"/>
    <n v="2643.3825000000002"/>
  </r>
  <r>
    <x v="793"/>
    <x v="0"/>
    <d v="2023-02-21T00:00:00"/>
    <d v="2023-03-23T00:00:00"/>
    <n v="2999.23"/>
    <x v="4"/>
    <x v="2"/>
    <d v="2023-03-23T00:00:00"/>
    <x v="7"/>
    <x v="1"/>
    <x v="0"/>
    <n v="4348.8834999999999"/>
    <n v="4348.8834999999999"/>
    <n v="0"/>
  </r>
  <r>
    <x v="794"/>
    <x v="1"/>
    <d v="2024-09-08T00:00:00"/>
    <d v="2024-10-08T00:00:00"/>
    <n v="754.06"/>
    <x v="0"/>
    <x v="1"/>
    <s v="Pending"/>
    <x v="417"/>
    <x v="0"/>
    <x v="0"/>
    <n v="648.49159999999995"/>
    <n v="324.24579999999997"/>
    <n v="324.24579999999997"/>
  </r>
  <r>
    <x v="795"/>
    <x v="1"/>
    <d v="2023-02-04T00:00:00"/>
    <d v="2023-03-06T00:00:00"/>
    <n v="4250.7"/>
    <x v="4"/>
    <x v="2"/>
    <d v="2023-03-06T00:00:00"/>
    <x v="7"/>
    <x v="1"/>
    <x v="0"/>
    <n v="6163.5149999999994"/>
    <n v="6163.5149999999994"/>
    <n v="0"/>
  </r>
  <r>
    <x v="796"/>
    <x v="0"/>
    <d v="2024-04-02T00:00:00"/>
    <d v="2024-05-02T00:00:00"/>
    <n v="613.6"/>
    <x v="2"/>
    <x v="0"/>
    <s v="Pending"/>
    <x v="132"/>
    <x v="0"/>
    <x v="0"/>
    <n v="460.20000000000005"/>
    <n v="0"/>
    <n v="460.20000000000005"/>
  </r>
  <r>
    <x v="797"/>
    <x v="3"/>
    <d v="2025-03-16T00:00:00"/>
    <d v="2025-04-15T00:00:00"/>
    <n v="1012.88"/>
    <x v="0"/>
    <x v="1"/>
    <s v="Pending"/>
    <x v="418"/>
    <x v="2"/>
    <x v="0"/>
    <n v="871.07679999999993"/>
    <n v="435.53839999999997"/>
    <n v="435.53839999999997"/>
  </r>
  <r>
    <x v="798"/>
    <x v="2"/>
    <d v="2025-06-19T00:00:00"/>
    <d v="2025-07-19T00:00:00"/>
    <n v="290.27"/>
    <x v="2"/>
    <x v="1"/>
    <s v="Pending"/>
    <x v="97"/>
    <x v="2"/>
    <x v="0"/>
    <n v="217.70249999999999"/>
    <n v="108.85124999999999"/>
    <n v="108.85124999999999"/>
  </r>
  <r>
    <x v="799"/>
    <x v="3"/>
    <d v="2024-12-22T00:00:00"/>
    <d v="2025-01-21T00:00:00"/>
    <n v="4608.55"/>
    <x v="4"/>
    <x v="1"/>
    <s v="Pending"/>
    <x v="265"/>
    <x v="0"/>
    <x v="0"/>
    <n v="6682.3975"/>
    <n v="3341.19875"/>
    <n v="3341.19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AA31A-2E26-4B61-9284-01935A54FCBE}"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Overdue">
  <location ref="A1:B5" firstHeaderRow="1" firstDataRow="1" firstDataCol="1"/>
  <pivotFields count="14">
    <pivotField showAll="0"/>
    <pivotField showAll="0">
      <items count="6">
        <item x="2"/>
        <item x="0"/>
        <item x="1"/>
        <item x="3"/>
        <item x="4"/>
        <item t="default"/>
      </items>
    </pivotField>
    <pivotField numFmtId="164" showAll="0"/>
    <pivotField numFmtId="164" showAll="0"/>
    <pivotField numFmtId="43" showAll="0"/>
    <pivotField showAll="0">
      <items count="6">
        <item x="4"/>
        <item x="1"/>
        <item x="0"/>
        <item x="2"/>
        <item x="3"/>
        <item t="default"/>
      </items>
    </pivotField>
    <pivotField showAll="0">
      <items count="4">
        <item x="0"/>
        <item x="2"/>
        <item x="1"/>
        <item t="default"/>
      </items>
    </pivotField>
    <pivotField showAll="0"/>
    <pivotField numFmtI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43" showAll="0"/>
    <pivotField numFmtId="43" showAll="0"/>
    <pivotField dataField="1" numFmtId="43" showAll="0"/>
  </pivotFields>
  <rowFields count="1">
    <field x="9"/>
  </rowFields>
  <rowItems count="4">
    <i>
      <x/>
    </i>
    <i>
      <x v="1"/>
    </i>
    <i>
      <x v="2"/>
    </i>
    <i t="grand">
      <x/>
    </i>
  </rowItems>
  <colItems count="1">
    <i/>
  </colItems>
  <dataFields count="1">
    <dataField name="Remaining Balance " fld="13" baseField="9" baseItem="0" numFmtId="43"/>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9A444-C1D0-4933-824C-59DDBE8A870E}"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Vendor">
  <location ref="A1:B7" firstHeaderRow="1" firstDataRow="1" firstDataCol="1"/>
  <pivotFields count="14">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43" showAll="0"/>
    <pivotField showAll="0">
      <items count="6">
        <item x="4"/>
        <item x="1"/>
        <item x="0"/>
        <item x="2"/>
        <item x="3"/>
        <item t="default"/>
      </items>
    </pivotField>
    <pivotField showAll="0">
      <items count="4">
        <item x="0"/>
        <item x="2"/>
        <item x="1"/>
        <item t="default"/>
      </items>
    </pivotField>
    <pivotField showAll="0"/>
    <pivotField numFmtId="1" showAll="0"/>
    <pivotField showAll="0">
      <items count="4">
        <item x="0"/>
        <item x="2"/>
        <item x="1"/>
        <item t="default"/>
      </items>
    </pivotField>
    <pivotField showAll="0"/>
    <pivotField numFmtId="43" showAll="0"/>
    <pivotField numFmtId="43" showAll="0"/>
    <pivotField dataField="1" numFmtId="43" showAll="0"/>
  </pivotFields>
  <rowFields count="1">
    <field x="1"/>
  </rowFields>
  <rowItems count="6">
    <i>
      <x v="1"/>
    </i>
    <i>
      <x/>
    </i>
    <i>
      <x v="4"/>
    </i>
    <i>
      <x v="3"/>
    </i>
    <i>
      <x v="2"/>
    </i>
    <i t="grand">
      <x/>
    </i>
  </rowItems>
  <colItems count="1">
    <i/>
  </colItems>
  <dataFields count="1">
    <dataField name="Remaining Balance " fld="13" baseField="1" baseItem="0" numFmtId="43"/>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3A927-B80C-43DA-9802-A80A1B7A9ED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us">
  <location ref="A1:B5" firstHeaderRow="1" firstDataRow="1" firstDataCol="1"/>
  <pivotFields count="14">
    <pivotField dataField="1" showAll="0"/>
    <pivotField showAll="0">
      <items count="6">
        <item x="2"/>
        <item x="0"/>
        <item x="1"/>
        <item x="3"/>
        <item x="4"/>
        <item t="default"/>
      </items>
    </pivotField>
    <pivotField numFmtId="164" showAll="0"/>
    <pivotField numFmtId="164" showAll="0"/>
    <pivotField numFmtId="43" showAll="0"/>
    <pivotField showAll="0">
      <items count="6">
        <item x="4"/>
        <item x="1"/>
        <item x="0"/>
        <item x="2"/>
        <item x="3"/>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4">
        <item x="0"/>
        <item x="2"/>
        <item x="1"/>
        <item t="default"/>
      </items>
    </pivotField>
    <pivotField showAll="0"/>
    <pivotField numFmtId="43" showAll="0"/>
    <pivotField numFmtId="43" showAll="0"/>
    <pivotField numFmtId="43" showAll="0"/>
  </pivotFields>
  <rowFields count="1">
    <field x="6"/>
  </rowFields>
  <rowItems count="4">
    <i>
      <x v="2"/>
    </i>
    <i>
      <x/>
    </i>
    <i>
      <x v="1"/>
    </i>
    <i t="grand">
      <x/>
    </i>
  </rowItems>
  <colItems count="1">
    <i/>
  </colItems>
  <dataFields count="1">
    <dataField name="APID " fld="0"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6" count="1" selected="0">
            <x v="2"/>
          </reference>
        </references>
      </pivotArea>
    </chartFormat>
    <chartFormat chart="12" format="8">
      <pivotArea type="data" outline="0" fieldPosition="0">
        <references count="2">
          <reference field="4294967294" count="1" selected="0">
            <x v="0"/>
          </reference>
          <reference field="6" count="1" selected="0">
            <x v="0"/>
          </reference>
        </references>
      </pivotArea>
    </chartFormat>
    <chartFormat chart="12" format="9">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EDCAC9-4847-4D0F-B0EE-F49C3F18633C}"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urrency">
  <location ref="A1:C7" firstHeaderRow="0" firstDataRow="1" firstDataCol="1"/>
  <pivotFields count="14">
    <pivotField showAll="0"/>
    <pivotField showAll="0">
      <items count="6">
        <item x="2"/>
        <item x="0"/>
        <item x="1"/>
        <item x="3"/>
        <item x="4"/>
        <item t="default"/>
      </items>
    </pivotField>
    <pivotField numFmtId="164" showAll="0"/>
    <pivotField numFmtId="164" showAll="0"/>
    <pivotField dataField="1" numFmtId="43" showAll="0"/>
    <pivotField axis="axisRow" showAll="0" sortType="descending">
      <items count="6">
        <item x="4"/>
        <item x="1"/>
        <item x="0"/>
        <item x="2"/>
        <item x="3"/>
        <item t="default"/>
      </items>
      <autoSortScope>
        <pivotArea dataOnly="0" outline="0" fieldPosition="0">
          <references count="1">
            <reference field="4294967294" count="1" selected="0">
              <x v="1"/>
            </reference>
          </references>
        </pivotArea>
      </autoSortScope>
    </pivotField>
    <pivotField showAll="0">
      <items count="4">
        <item x="0"/>
        <item x="2"/>
        <item x="1"/>
        <item t="default"/>
      </items>
    </pivotField>
    <pivotField showAll="0"/>
    <pivotField numFmtId="1" showAll="0"/>
    <pivotField showAll="0">
      <items count="4">
        <item x="0"/>
        <item x="2"/>
        <item x="1"/>
        <item t="default"/>
      </items>
    </pivotField>
    <pivotField showAll="0"/>
    <pivotField dataField="1" numFmtId="43" showAll="0"/>
    <pivotField numFmtId="43" showAll="0"/>
    <pivotField numFmtId="43" showAll="0"/>
  </pivotFields>
  <rowFields count="1">
    <field x="5"/>
  </rowFields>
  <rowItems count="6">
    <i>
      <x/>
    </i>
    <i>
      <x v="1"/>
    </i>
    <i>
      <x v="4"/>
    </i>
    <i>
      <x v="3"/>
    </i>
    <i>
      <x v="2"/>
    </i>
    <i t="grand">
      <x/>
    </i>
  </rowItems>
  <colFields count="1">
    <field x="-2"/>
  </colFields>
  <colItems count="2">
    <i>
      <x/>
    </i>
    <i i="1">
      <x v="1"/>
    </i>
  </colItems>
  <dataFields count="2">
    <dataField name="Amount per Currency" fld="4" baseField="5" baseItem="0" numFmtId="43"/>
    <dataField name="Amount in USD " fld="11" baseField="5" baseItem="0" numFmtId="4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E2833-4B79-49EA-B2EE-039F7A35520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Vendor">
  <location ref="A3:C9" firstHeaderRow="0" firstDataRow="1" firstDataCol="1" rowPageCount="1" colPageCount="1"/>
  <pivotFields count="14">
    <pivotField axis="axisRow"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axis="axisRow" showAll="0">
      <items count="6">
        <item sd="0" x="2"/>
        <item sd="0" x="0"/>
        <item sd="0" x="1"/>
        <item sd="0" x="3"/>
        <item sd="0" x="4"/>
        <item t="default"/>
      </items>
    </pivotField>
    <pivotField numFmtId="164" showAll="0"/>
    <pivotField numFmtId="164" showAll="0"/>
    <pivotField numFmtId="43" showAll="0"/>
    <pivotField showAll="0">
      <items count="6">
        <item x="4"/>
        <item x="1"/>
        <item x="0"/>
        <item x="2"/>
        <item x="3"/>
        <item t="default"/>
      </items>
    </pivotField>
    <pivotField showAll="0">
      <items count="4">
        <item x="0"/>
        <item x="2"/>
        <item x="1"/>
        <item t="default"/>
      </items>
    </pivotField>
    <pivotField showAll="0"/>
    <pivotField numFmtId="1" showAll="0">
      <items count="420">
        <item x="7"/>
        <item x="68"/>
        <item x="134"/>
        <item x="353"/>
        <item x="192"/>
        <item x="212"/>
        <item x="125"/>
        <item x="118"/>
        <item x="97"/>
        <item x="307"/>
        <item x="301"/>
        <item x="48"/>
        <item x="57"/>
        <item x="191"/>
        <item x="315"/>
        <item x="128"/>
        <item x="113"/>
        <item x="52"/>
        <item x="210"/>
        <item x="33"/>
        <item x="399"/>
        <item x="31"/>
        <item x="350"/>
        <item x="219"/>
        <item x="338"/>
        <item x="162"/>
        <item x="145"/>
        <item x="274"/>
        <item x="72"/>
        <item x="91"/>
        <item x="357"/>
        <item x="268"/>
        <item x="291"/>
        <item x="190"/>
        <item x="151"/>
        <item x="386"/>
        <item x="242"/>
        <item x="123"/>
        <item x="45"/>
        <item x="290"/>
        <item x="370"/>
        <item x="239"/>
        <item x="221"/>
        <item x="180"/>
        <item x="183"/>
        <item x="332"/>
        <item x="115"/>
        <item x="375"/>
        <item x="15"/>
        <item x="186"/>
        <item x="320"/>
        <item x="58"/>
        <item x="109"/>
        <item x="418"/>
        <item x="224"/>
        <item x="83"/>
        <item x="135"/>
        <item x="42"/>
        <item x="131"/>
        <item x="306"/>
        <item x="410"/>
        <item x="161"/>
        <item x="146"/>
        <item x="400"/>
        <item x="199"/>
        <item x="207"/>
        <item x="139"/>
        <item x="257"/>
        <item x="165"/>
        <item x="122"/>
        <item x="148"/>
        <item x="414"/>
        <item x="170"/>
        <item x="81"/>
        <item x="349"/>
        <item x="36"/>
        <item x="288"/>
        <item x="194"/>
        <item x="302"/>
        <item x="248"/>
        <item x="50"/>
        <item x="408"/>
        <item x="14"/>
        <item x="18"/>
        <item x="355"/>
        <item x="265"/>
        <item x="84"/>
        <item x="6"/>
        <item x="204"/>
        <item x="0"/>
        <item x="254"/>
        <item x="21"/>
        <item x="95"/>
        <item x="297"/>
        <item x="116"/>
        <item x="94"/>
        <item x="383"/>
        <item x="76"/>
        <item x="271"/>
        <item x="339"/>
        <item x="103"/>
        <item x="73"/>
        <item x="276"/>
        <item x="158"/>
        <item x="241"/>
        <item x="233"/>
        <item x="413"/>
        <item x="405"/>
        <item x="362"/>
        <item x="412"/>
        <item x="345"/>
        <item x="181"/>
        <item x="117"/>
        <item x="348"/>
        <item x="394"/>
        <item x="269"/>
        <item x="25"/>
        <item x="304"/>
        <item x="22"/>
        <item x="346"/>
        <item x="147"/>
        <item x="326"/>
        <item x="111"/>
        <item x="289"/>
        <item x="182"/>
        <item x="240"/>
        <item x="196"/>
        <item x="10"/>
        <item x="381"/>
        <item x="106"/>
        <item x="393"/>
        <item x="53"/>
        <item x="185"/>
        <item x="305"/>
        <item x="392"/>
        <item x="67"/>
        <item x="71"/>
        <item x="415"/>
        <item x="364"/>
        <item x="173"/>
        <item x="417"/>
        <item x="309"/>
        <item x="299"/>
        <item x="404"/>
        <item x="69"/>
        <item x="202"/>
        <item x="152"/>
        <item x="150"/>
        <item x="368"/>
        <item x="229"/>
        <item x="59"/>
        <item x="308"/>
        <item x="373"/>
        <item x="178"/>
        <item x="198"/>
        <item x="409"/>
        <item x="28"/>
        <item x="319"/>
        <item x="46"/>
        <item x="222"/>
        <item x="141"/>
        <item x="403"/>
        <item x="179"/>
        <item x="390"/>
        <item x="5"/>
        <item x="234"/>
        <item x="177"/>
        <item x="316"/>
        <item x="104"/>
        <item x="157"/>
        <item x="321"/>
        <item x="318"/>
        <item x="8"/>
        <item x="100"/>
        <item x="237"/>
        <item x="41"/>
        <item x="327"/>
        <item x="138"/>
        <item x="382"/>
        <item x="54"/>
        <item x="187"/>
        <item x="328"/>
        <item x="130"/>
        <item x="120"/>
        <item x="216"/>
        <item x="140"/>
        <item x="255"/>
        <item x="296"/>
        <item x="378"/>
        <item x="372"/>
        <item x="164"/>
        <item x="236"/>
        <item x="4"/>
        <item x="284"/>
        <item x="143"/>
        <item x="1"/>
        <item x="64"/>
        <item x="55"/>
        <item x="351"/>
        <item x="336"/>
        <item x="356"/>
        <item x="12"/>
        <item x="273"/>
        <item x="223"/>
        <item x="43"/>
        <item x="44"/>
        <item x="60"/>
        <item x="205"/>
        <item x="96"/>
        <item x="126"/>
        <item x="311"/>
        <item x="88"/>
        <item x="206"/>
        <item x="93"/>
        <item x="384"/>
        <item x="133"/>
        <item x="201"/>
        <item x="132"/>
        <item x="310"/>
        <item x="266"/>
        <item x="272"/>
        <item x="175"/>
        <item x="77"/>
        <item x="92"/>
        <item x="230"/>
        <item x="155"/>
        <item x="260"/>
        <item x="9"/>
        <item x="275"/>
        <item x="331"/>
        <item x="65"/>
        <item x="303"/>
        <item x="2"/>
        <item x="282"/>
        <item x="105"/>
        <item x="250"/>
        <item x="406"/>
        <item x="24"/>
        <item x="176"/>
        <item x="231"/>
        <item x="287"/>
        <item x="110"/>
        <item x="278"/>
        <item x="208"/>
        <item x="195"/>
        <item x="149"/>
        <item x="264"/>
        <item x="153"/>
        <item x="32"/>
        <item x="75"/>
        <item x="238"/>
        <item x="398"/>
        <item x="184"/>
        <item x="3"/>
        <item x="298"/>
        <item x="225"/>
        <item x="286"/>
        <item x="329"/>
        <item x="90"/>
        <item x="188"/>
        <item x="232"/>
        <item x="401"/>
        <item x="211"/>
        <item x="39"/>
        <item x="344"/>
        <item x="249"/>
        <item x="217"/>
        <item x="235"/>
        <item x="366"/>
        <item x="13"/>
        <item x="209"/>
        <item x="246"/>
        <item x="263"/>
        <item x="407"/>
        <item x="277"/>
        <item x="244"/>
        <item x="377"/>
        <item x="193"/>
        <item x="82"/>
        <item x="144"/>
        <item x="389"/>
        <item x="174"/>
        <item x="396"/>
        <item x="167"/>
        <item x="358"/>
        <item x="279"/>
        <item x="262"/>
        <item x="227"/>
        <item x="63"/>
        <item x="335"/>
        <item x="256"/>
        <item x="369"/>
        <item x="171"/>
        <item x="85"/>
        <item x="160"/>
        <item x="367"/>
        <item x="20"/>
        <item x="267"/>
        <item x="295"/>
        <item x="402"/>
        <item x="78"/>
        <item x="220"/>
        <item x="397"/>
        <item x="86"/>
        <item x="280"/>
        <item x="253"/>
        <item x="379"/>
        <item x="300"/>
        <item x="360"/>
        <item x="215"/>
        <item x="388"/>
        <item x="168"/>
        <item x="334"/>
        <item x="37"/>
        <item x="322"/>
        <item x="101"/>
        <item x="80"/>
        <item x="374"/>
        <item x="102"/>
        <item x="99"/>
        <item x="66"/>
        <item x="247"/>
        <item x="228"/>
        <item x="27"/>
        <item x="395"/>
        <item x="359"/>
        <item x="314"/>
        <item x="16"/>
        <item x="324"/>
        <item x="294"/>
        <item x="252"/>
        <item x="363"/>
        <item x="365"/>
        <item x="142"/>
        <item x="30"/>
        <item x="285"/>
        <item x="17"/>
        <item x="35"/>
        <item x="34"/>
        <item x="281"/>
        <item x="317"/>
        <item x="172"/>
        <item x="49"/>
        <item x="89"/>
        <item x="169"/>
        <item x="114"/>
        <item x="163"/>
        <item x="342"/>
        <item x="411"/>
        <item x="56"/>
        <item x="107"/>
        <item x="385"/>
        <item x="243"/>
        <item x="129"/>
        <item x="98"/>
        <item x="62"/>
        <item x="189"/>
        <item x="51"/>
        <item x="226"/>
        <item x="11"/>
        <item x="19"/>
        <item x="251"/>
        <item x="38"/>
        <item x="159"/>
        <item x="108"/>
        <item x="361"/>
        <item x="74"/>
        <item x="218"/>
        <item x="26"/>
        <item x="70"/>
        <item x="376"/>
        <item x="112"/>
        <item x="258"/>
        <item x="203"/>
        <item x="156"/>
        <item x="261"/>
        <item x="380"/>
        <item x="337"/>
        <item x="292"/>
        <item x="121"/>
        <item x="325"/>
        <item x="197"/>
        <item x="330"/>
        <item x="23"/>
        <item x="119"/>
        <item x="391"/>
        <item x="340"/>
        <item x="352"/>
        <item x="387"/>
        <item x="270"/>
        <item x="213"/>
        <item x="200"/>
        <item x="341"/>
        <item x="416"/>
        <item x="127"/>
        <item x="79"/>
        <item x="354"/>
        <item x="283"/>
        <item x="245"/>
        <item x="61"/>
        <item x="259"/>
        <item x="124"/>
        <item x="47"/>
        <item x="371"/>
        <item x="333"/>
        <item x="323"/>
        <item x="166"/>
        <item x="137"/>
        <item x="312"/>
        <item x="343"/>
        <item x="313"/>
        <item x="87"/>
        <item x="154"/>
        <item x="214"/>
        <item x="29"/>
        <item x="136"/>
        <item x="293"/>
        <item x="40"/>
        <item x="347"/>
        <item t="default"/>
      </items>
    </pivotField>
    <pivotField axis="axisPage" multipleItemSelectionAllowed="1" showAll="0">
      <items count="4">
        <item x="0"/>
        <item x="2"/>
        <item x="1"/>
        <item t="default"/>
      </items>
    </pivotField>
    <pivotField showAll="0">
      <items count="2">
        <item x="0"/>
        <item t="default"/>
      </items>
    </pivotField>
    <pivotField numFmtId="43" showAll="0"/>
    <pivotField numFmtId="43" showAll="0"/>
    <pivotField dataField="1" numFmtId="43" showAll="0"/>
  </pivotFields>
  <rowFields count="2">
    <field x="1"/>
    <field x="0"/>
  </rowFields>
  <rowItems count="6">
    <i>
      <x/>
    </i>
    <i>
      <x v="1"/>
    </i>
    <i>
      <x v="2"/>
    </i>
    <i>
      <x v="3"/>
    </i>
    <i>
      <x v="4"/>
    </i>
    <i t="grand">
      <x/>
    </i>
  </rowItems>
  <colFields count="1">
    <field x="-2"/>
  </colFields>
  <colItems count="2">
    <i>
      <x/>
    </i>
    <i i="1">
      <x v="1"/>
    </i>
  </colItems>
  <pageFields count="1">
    <pageField fld="9" hier="-1"/>
  </pageFields>
  <dataFields count="2">
    <dataField name="Remaining Balance %" fld="13" baseField="1" baseItem="0" numFmtId="10">
      <extLst>
        <ext xmlns:x14="http://schemas.microsoft.com/office/spreadsheetml/2009/9/main" uri="{E15A36E0-9728-4e99-A89B-3F7291B0FE68}">
          <x14:dataField pivotShowAs="percentOfRunningTotal"/>
        </ext>
      </extLst>
    </dataField>
    <dataField name=" Remaining Balance" fld="13" baseField="1" baseItem="0" numFmtId="43"/>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0E06B-73C0-4CE5-950E-90FB5EA541AA}"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B7" firstHeaderRow="1" firstDataRow="1" firstDataCol="1"/>
  <pivotFields count="14">
    <pivotField showAll="0"/>
    <pivotField axis="axisRow" showAll="0">
      <items count="6">
        <item x="2"/>
        <item x="0"/>
        <item x="1"/>
        <item x="3"/>
        <item x="4"/>
        <item t="default"/>
      </items>
    </pivotField>
    <pivotField numFmtId="164" showAll="0"/>
    <pivotField numFmtId="164" showAll="0"/>
    <pivotField numFmtId="43" showAll="0"/>
    <pivotField showAll="0">
      <items count="6">
        <item x="4"/>
        <item x="1"/>
        <item x="0"/>
        <item x="2"/>
        <item x="3"/>
        <item t="default"/>
      </items>
    </pivotField>
    <pivotField showAll="0">
      <items count="4">
        <item x="0"/>
        <item x="2"/>
        <item x="1"/>
        <item t="default"/>
      </items>
    </pivotField>
    <pivotField showAll="0"/>
    <pivotField numFmtId="1" showAll="0"/>
    <pivotField showAll="0">
      <items count="4">
        <item x="0"/>
        <item x="2"/>
        <item x="1"/>
        <item t="default"/>
      </items>
    </pivotField>
    <pivotField showAll="0"/>
    <pivotField numFmtId="43" showAll="0"/>
    <pivotField dataField="1" numFmtId="43" showAll="0"/>
    <pivotField numFmtId="43" showAll="0"/>
  </pivotFields>
  <rowFields count="1">
    <field x="1"/>
  </rowFields>
  <rowItems count="6">
    <i>
      <x/>
    </i>
    <i>
      <x v="1"/>
    </i>
    <i>
      <x v="2"/>
    </i>
    <i>
      <x v="3"/>
    </i>
    <i>
      <x v="4"/>
    </i>
    <i t="grand">
      <x/>
    </i>
  </rowItems>
  <colItems count="1">
    <i/>
  </colItems>
  <dataFields count="1">
    <dataField name="Amount Paid " fld="12" baseField="1" baseItem="0" numFmtId="43"/>
  </dataFields>
  <chartFormats count="2">
    <chartFormat chart="0"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D8431350-EF29-42A8-B617-EFF26A149ACA}" sourceName="Vendor">
  <pivotTables>
    <pivotTable tabId="6" name="PivotTable2"/>
    <pivotTable tabId="2" name="PivotTable1"/>
    <pivotTable tabId="3" name="PivotTable2"/>
    <pivotTable tabId="4" name="PivotTable3"/>
    <pivotTable tabId="5" name="PivotTable1"/>
    <pivotTable tabId="9" name="PivotTable5"/>
  </pivotTables>
  <data>
    <tabular pivotCacheId="1448183158">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B2BBB154-E9E2-495D-B08F-C972E9621E8A}" sourceName="Currency">
  <pivotTables>
    <pivotTable tabId="6" name="PivotTable2"/>
    <pivotTable tabId="2" name="PivotTable1"/>
    <pivotTable tabId="3" name="PivotTable2"/>
    <pivotTable tabId="4" name="PivotTable3"/>
    <pivotTable tabId="5" name="PivotTable1"/>
    <pivotTable tabId="9" name="PivotTable5"/>
  </pivotTables>
  <data>
    <tabular pivotCacheId="1448183158">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47C54ED-E221-49E2-9585-751641D50E37}" sourceName="Status">
  <pivotTables>
    <pivotTable tabId="6" name="PivotTable2"/>
    <pivotTable tabId="2" name="PivotTable1"/>
    <pivotTable tabId="3" name="PivotTable2"/>
    <pivotTable tabId="4" name="PivotTable3"/>
    <pivotTable tabId="5" name="PivotTable1"/>
    <pivotTable tabId="9" name="PivotTable5"/>
  </pivotTables>
  <data>
    <tabular pivotCacheId="144818315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due" xr10:uid="{605EAF4D-078B-4DCF-8D37-E4BD58E648D2}" sourceName="Overdue">
  <pivotTables>
    <pivotTable tabId="6" name="PivotTable2"/>
    <pivotTable tabId="2" name="PivotTable1"/>
    <pivotTable tabId="3" name="PivotTable2"/>
    <pivotTable tabId="4" name="PivotTable3"/>
    <pivotTable tabId="5" name="PivotTable1"/>
    <pivotTable tabId="9" name="PivotTable5"/>
  </pivotTables>
  <data>
    <tabular pivotCacheId="14481831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9000E3B8-0B23-4A36-80A0-3A16FCA6A1FE}" cache="Slicer_Vendor" caption="Vendor" style="SlicerStyleLight2" rowHeight="457200"/>
  <slicer name="Currency" xr10:uid="{1A2E923D-EA7E-4BD7-9B3C-9AA5B8DF291F}" cache="Slicer_Currency" caption="Currency" style="SlicerStyleLight2" rowHeight="457200"/>
  <slicer name="Status" xr10:uid="{71E566A5-2B8F-4EA3-9E46-7E475CB315A1}" cache="Slicer_Status" caption="Status" style="SlicerStyleLight2" rowHeight="457200"/>
  <slicer name="Overdue" xr10:uid="{AD0F663D-5E8E-427C-AA44-C26971BCB871}" cache="Slicer_Overdue" caption="Overdue" style="SlicerStyleLight2" rowHeight="4572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01"/>
  <sheetViews>
    <sheetView showGridLines="0" zoomScale="98" zoomScaleNormal="98" workbookViewId="0">
      <selection activeCell="P2" sqref="P2"/>
    </sheetView>
  </sheetViews>
  <sheetFormatPr defaultColWidth="15.42578125" defaultRowHeight="15" x14ac:dyDescent="0.25"/>
  <cols>
    <col min="3" max="4" width="15.42578125" style="5"/>
    <col min="5" max="5" width="15.42578125" style="3"/>
    <col min="8" max="8" width="15.42578125" style="5"/>
    <col min="9" max="9" width="0" style="7" hidden="1" customWidth="1"/>
    <col min="10" max="10" width="15.42578125" style="13"/>
    <col min="12" max="13" width="15.42578125" style="3"/>
    <col min="14" max="14" width="19.140625" style="3" customWidth="1"/>
    <col min="15" max="15" width="15.42578125" customWidth="1"/>
    <col min="16" max="16" width="21.28515625" style="20" customWidth="1"/>
    <col min="17" max="17" width="21.85546875" style="20" customWidth="1"/>
    <col min="18" max="18" width="21.85546875" style="15" customWidth="1"/>
    <col min="19" max="19" width="21.85546875" style="18" customWidth="1"/>
    <col min="22" max="22" width="15.42578125" style="10"/>
  </cols>
  <sheetData>
    <row r="1" spans="1:22" x14ac:dyDescent="0.25">
      <c r="A1" s="1" t="s">
        <v>0</v>
      </c>
      <c r="B1" s="1" t="s">
        <v>1</v>
      </c>
      <c r="C1" s="4" t="s">
        <v>831</v>
      </c>
      <c r="D1" s="4" t="s">
        <v>832</v>
      </c>
      <c r="E1" s="2" t="s">
        <v>2</v>
      </c>
      <c r="F1" s="1" t="s">
        <v>3</v>
      </c>
      <c r="G1" s="1" t="s">
        <v>4</v>
      </c>
      <c r="H1" s="4" t="s">
        <v>833</v>
      </c>
      <c r="I1" s="6" t="s">
        <v>820</v>
      </c>
      <c r="J1" s="12" t="s">
        <v>826</v>
      </c>
      <c r="K1" s="1" t="s">
        <v>5</v>
      </c>
      <c r="L1" s="11" t="s">
        <v>822</v>
      </c>
      <c r="M1" s="11" t="s">
        <v>823</v>
      </c>
      <c r="N1" s="11" t="s">
        <v>824</v>
      </c>
      <c r="P1" s="19" t="s">
        <v>828</v>
      </c>
      <c r="Q1" s="19" t="s">
        <v>827</v>
      </c>
      <c r="R1" s="16" t="s">
        <v>829</v>
      </c>
      <c r="S1" s="17" t="s">
        <v>830</v>
      </c>
      <c r="U1" s="8" t="s">
        <v>3</v>
      </c>
      <c r="V1" s="9" t="s">
        <v>821</v>
      </c>
    </row>
    <row r="2" spans="1:22" x14ac:dyDescent="0.25">
      <c r="A2" t="s">
        <v>6</v>
      </c>
      <c r="B2" t="s">
        <v>806</v>
      </c>
      <c r="C2" s="5">
        <v>45642</v>
      </c>
      <c r="D2" s="5">
        <v>45672</v>
      </c>
      <c r="E2" s="3">
        <v>344.25</v>
      </c>
      <c r="F2" t="s">
        <v>811</v>
      </c>
      <c r="G2" t="s">
        <v>816</v>
      </c>
      <c r="H2" s="5" t="s">
        <v>825</v>
      </c>
      <c r="I2" s="7">
        <f>IF(G2="Paid",0,DATE(2026,3,25)-D2)</f>
        <v>434</v>
      </c>
      <c r="J2" s="13" t="str" cm="1">
        <f t="array" ref="J2">_xlfn.IFS(I2=0, "Settled", I2&lt;=30, "1-30", I2&lt;=90, "31-90", I2&lt;=365, "91-365", I2&gt;365, "1 Year+")</f>
        <v>1 Year+</v>
      </c>
      <c r="K2" t="s">
        <v>819</v>
      </c>
      <c r="L2" s="3" cm="1">
        <f t="array" ref="L2">_xlfn.IFS(F2="AUD",E2*$V$2,F2="CAD",E2*$V$3,F2="EUR",E2*$V$4,F2="GBP",E2*$V$5,F2="USD",E2*$V$6)</f>
        <v>296.05500000000001</v>
      </c>
      <c r="M2" s="3" cm="1">
        <f t="array" ref="M2">_xlfn.IFS(G2="Paid", L2, G2="Partial", L2*0.5, G2="Open", 0)</f>
        <v>0</v>
      </c>
      <c r="N2" s="3" cm="1">
        <f t="array" ref="N2">_xlfn.IFS(G2="Open", L2, G2="Partial", L2*0.5, G2="Paid", 0)</f>
        <v>296.05500000000001</v>
      </c>
      <c r="P2" s="20">
        <f>SUM(M2:M801)</f>
        <v>1154931.3208999997</v>
      </c>
      <c r="Q2" s="20">
        <f>SUM(N2:N801)</f>
        <v>1132143.6025000017</v>
      </c>
      <c r="R2" s="15">
        <f>COUNTIF(G2:G801,"Paid")/COUNTA(A2:A801)</f>
        <v>0.32124999999999998</v>
      </c>
      <c r="S2" s="18" cm="1">
        <f t="array" ref="S2">SUM(COUNTIF(J2:J801, {"1 Year+","91-365"}))</f>
        <v>543</v>
      </c>
      <c r="U2" t="s">
        <v>815</v>
      </c>
      <c r="V2" s="10">
        <v>1.45</v>
      </c>
    </row>
    <row r="3" spans="1:22" x14ac:dyDescent="0.25">
      <c r="A3" t="s">
        <v>7</v>
      </c>
      <c r="B3" t="s">
        <v>806</v>
      </c>
      <c r="C3" s="5">
        <v>45430</v>
      </c>
      <c r="D3" s="5">
        <v>45460</v>
      </c>
      <c r="E3" s="3">
        <v>3298.38</v>
      </c>
      <c r="F3" t="s">
        <v>812</v>
      </c>
      <c r="G3" t="s">
        <v>817</v>
      </c>
      <c r="H3" s="5" t="s">
        <v>825</v>
      </c>
      <c r="I3" s="7">
        <f t="shared" ref="I3:I66" si="0">IF(G3="Paid",0,DATE(2026,3,25)-D3)</f>
        <v>646</v>
      </c>
      <c r="J3" s="13" t="str" cm="1">
        <f t="array" ref="J3">_xlfn.IFS(I3=0, "Settled", I3&lt;=30, "1-30", I3&lt;=90, "31-90", I3&lt;=365, "91-365", I3&gt;365, "1 Year+")</f>
        <v>1 Year+</v>
      </c>
      <c r="K3" t="s">
        <v>819</v>
      </c>
      <c r="L3" s="3" cm="1">
        <f t="array" ref="L3">_xlfn.IFS(F3="AUD",E3*$V$2,F3="CAD",E3*$V$3,F3="EUR",E3*$V$4,F3="GBP",E3*$V$5,F3="USD",E3*$V$6)</f>
        <v>4551.7644</v>
      </c>
      <c r="M3" s="3" cm="1">
        <f t="array" ref="M3">_xlfn.IFS(G3="Paid", L3, G3="Partial", L3*0.5, G3="Open", 0)</f>
        <v>2275.8822</v>
      </c>
      <c r="N3" s="3" cm="1">
        <f t="array" ref="N3">_xlfn.IFS(G3="Open", L3, G3="Partial", L3*0.5, G3="Paid", 0)</f>
        <v>2275.8822</v>
      </c>
      <c r="U3" t="s">
        <v>812</v>
      </c>
      <c r="V3" s="10">
        <v>1.38</v>
      </c>
    </row>
    <row r="4" spans="1:22" x14ac:dyDescent="0.25">
      <c r="A4" t="s">
        <v>8</v>
      </c>
      <c r="B4" t="s">
        <v>807</v>
      </c>
      <c r="C4" s="5">
        <v>45347</v>
      </c>
      <c r="D4" s="5">
        <v>45377</v>
      </c>
      <c r="E4" s="3">
        <v>1023.43</v>
      </c>
      <c r="F4" t="s">
        <v>813</v>
      </c>
      <c r="G4" t="s">
        <v>816</v>
      </c>
      <c r="H4" s="5" t="s">
        <v>825</v>
      </c>
      <c r="I4" s="7">
        <f t="shared" si="0"/>
        <v>729</v>
      </c>
      <c r="J4" s="13" t="str" cm="1">
        <f t="array" ref="J4">_xlfn.IFS(I4=0, "Settled", I4&lt;=30, "1-30", I4&lt;=90, "31-90", I4&lt;=365, "91-365", I4&gt;365, "1 Year+")</f>
        <v>1 Year+</v>
      </c>
      <c r="K4" t="s">
        <v>819</v>
      </c>
      <c r="L4" s="3" cm="1">
        <f t="array" ref="L4">_xlfn.IFS(F4="AUD",E4*$V$2,F4="CAD",E4*$V$3,F4="EUR",E4*$V$4,F4="GBP",E4*$V$5,F4="USD",E4*$V$6)</f>
        <v>767.57249999999999</v>
      </c>
      <c r="M4" s="3" cm="1">
        <f t="array" ref="M4">_xlfn.IFS(G4="Paid", L4, G4="Partial", L4*0.5, G4="Open", 0)</f>
        <v>0</v>
      </c>
      <c r="N4" s="3" cm="1">
        <f t="array" ref="N4">_xlfn.IFS(G4="Open", L4, G4="Partial", L4*0.5, G4="Paid", 0)</f>
        <v>767.57249999999999</v>
      </c>
      <c r="U4" t="s">
        <v>811</v>
      </c>
      <c r="V4" s="10">
        <v>0.86</v>
      </c>
    </row>
    <row r="5" spans="1:22" x14ac:dyDescent="0.25">
      <c r="A5" t="s">
        <v>9</v>
      </c>
      <c r="B5" t="s">
        <v>808</v>
      </c>
      <c r="C5" s="5">
        <v>45299</v>
      </c>
      <c r="D5" s="5">
        <v>45329</v>
      </c>
      <c r="E5" s="3">
        <v>4433.05</v>
      </c>
      <c r="F5" t="s">
        <v>814</v>
      </c>
      <c r="G5" t="s">
        <v>817</v>
      </c>
      <c r="H5" s="5" t="s">
        <v>825</v>
      </c>
      <c r="I5" s="7">
        <f t="shared" si="0"/>
        <v>777</v>
      </c>
      <c r="J5" s="13" t="str" cm="1">
        <f t="array" ref="J5">_xlfn.IFS(I5=0, "Settled", I5&lt;=30, "1-30", I5&lt;=90, "31-90", I5&lt;=365, "91-365", I5&gt;365, "1 Year+")</f>
        <v>1 Year+</v>
      </c>
      <c r="K5" t="s">
        <v>819</v>
      </c>
      <c r="L5" s="3" cm="1">
        <f t="array" ref="L5">_xlfn.IFS(F5="AUD",E5*$V$2,F5="CAD",E5*$V$3,F5="EUR",E5*$V$4,F5="GBP",E5*$V$5,F5="USD",E5*$V$6)</f>
        <v>4433.05</v>
      </c>
      <c r="M5" s="3" cm="1">
        <f t="array" ref="M5">_xlfn.IFS(G5="Paid", L5, G5="Partial", L5*0.5, G5="Open", 0)</f>
        <v>2216.5250000000001</v>
      </c>
      <c r="N5" s="3" cm="1">
        <f t="array" ref="N5">_xlfn.IFS(G5="Open", L5, G5="Partial", L5*0.5, G5="Paid", 0)</f>
        <v>2216.5250000000001</v>
      </c>
      <c r="U5" t="s">
        <v>813</v>
      </c>
      <c r="V5" s="10">
        <v>0.75</v>
      </c>
    </row>
    <row r="6" spans="1:22" x14ac:dyDescent="0.25">
      <c r="A6" t="s">
        <v>10</v>
      </c>
      <c r="B6" t="s">
        <v>808</v>
      </c>
      <c r="C6" s="5">
        <v>45435</v>
      </c>
      <c r="D6" s="5">
        <v>45465</v>
      </c>
      <c r="E6" s="3">
        <v>4345.1400000000003</v>
      </c>
      <c r="F6" t="s">
        <v>813</v>
      </c>
      <c r="G6" t="s">
        <v>817</v>
      </c>
      <c r="H6" s="5" t="s">
        <v>825</v>
      </c>
      <c r="I6" s="7">
        <f t="shared" si="0"/>
        <v>641</v>
      </c>
      <c r="J6" s="13" t="str" cm="1">
        <f t="array" ref="J6">_xlfn.IFS(I6=0, "Settled", I6&lt;=30, "1-30", I6&lt;=90, "31-90", I6&lt;=365, "91-365", I6&gt;365, "1 Year+")</f>
        <v>1 Year+</v>
      </c>
      <c r="K6" t="s">
        <v>819</v>
      </c>
      <c r="L6" s="3" cm="1">
        <f t="array" ref="L6">_xlfn.IFS(F6="AUD",E6*$V$2,F6="CAD",E6*$V$3,F6="EUR",E6*$V$4,F6="GBP",E6*$V$5,F6="USD",E6*$V$6)</f>
        <v>3258.8550000000005</v>
      </c>
      <c r="M6" s="3" cm="1">
        <f t="array" ref="M6">_xlfn.IFS(G6="Paid", L6, G6="Partial", L6*0.5, G6="Open", 0)</f>
        <v>1629.4275000000002</v>
      </c>
      <c r="N6" s="3" cm="1">
        <f t="array" ref="N6">_xlfn.IFS(G6="Open", L6, G6="Partial", L6*0.5, G6="Paid", 0)</f>
        <v>1629.4275000000002</v>
      </c>
      <c r="U6" t="s">
        <v>814</v>
      </c>
      <c r="V6" s="10">
        <v>1</v>
      </c>
    </row>
    <row r="7" spans="1:22" x14ac:dyDescent="0.25">
      <c r="A7" t="s">
        <v>11</v>
      </c>
      <c r="B7" t="s">
        <v>807</v>
      </c>
      <c r="C7" s="5">
        <v>45482</v>
      </c>
      <c r="D7" s="5">
        <v>45512</v>
      </c>
      <c r="E7" s="3">
        <v>1599.18</v>
      </c>
      <c r="F7" t="s">
        <v>815</v>
      </c>
      <c r="G7" t="s">
        <v>816</v>
      </c>
      <c r="H7" s="5" t="s">
        <v>825</v>
      </c>
      <c r="I7" s="7">
        <f t="shared" si="0"/>
        <v>594</v>
      </c>
      <c r="J7" s="13" t="str" cm="1">
        <f t="array" ref="J7">_xlfn.IFS(I7=0, "Settled", I7&lt;=30, "1-30", I7&lt;=90, "31-90", I7&lt;=365, "91-365", I7&gt;365, "1 Year+")</f>
        <v>1 Year+</v>
      </c>
      <c r="K7" t="s">
        <v>819</v>
      </c>
      <c r="L7" s="3" cm="1">
        <f t="array" ref="L7">_xlfn.IFS(F7="AUD",E7*$V$2,F7="CAD",E7*$V$3,F7="EUR",E7*$V$4,F7="GBP",E7*$V$5,F7="USD",E7*$V$6)</f>
        <v>2318.8110000000001</v>
      </c>
      <c r="M7" s="3" cm="1">
        <f t="array" ref="M7">_xlfn.IFS(G7="Paid", L7, G7="Partial", L7*0.5, G7="Open", 0)</f>
        <v>0</v>
      </c>
      <c r="N7" s="3" cm="1">
        <f t="array" ref="N7">_xlfn.IFS(G7="Open", L7, G7="Partial", L7*0.5, G7="Paid", 0)</f>
        <v>2318.8110000000001</v>
      </c>
    </row>
    <row r="8" spans="1:22" x14ac:dyDescent="0.25">
      <c r="A8" t="s">
        <v>12</v>
      </c>
      <c r="B8" t="s">
        <v>806</v>
      </c>
      <c r="C8" s="5">
        <v>45646</v>
      </c>
      <c r="D8" s="5">
        <v>45676</v>
      </c>
      <c r="E8" s="3">
        <v>894.13</v>
      </c>
      <c r="F8" t="s">
        <v>814</v>
      </c>
      <c r="G8" t="s">
        <v>816</v>
      </c>
      <c r="H8" s="5" t="s">
        <v>825</v>
      </c>
      <c r="I8" s="7">
        <f t="shared" si="0"/>
        <v>430</v>
      </c>
      <c r="J8" s="13" t="str" cm="1">
        <f t="array" ref="J8">_xlfn.IFS(I8=0, "Settled", I8&lt;=30, "1-30", I8&lt;=90, "31-90", I8&lt;=365, "91-365", I8&gt;365, "1 Year+")</f>
        <v>1 Year+</v>
      </c>
      <c r="K8" t="s">
        <v>819</v>
      </c>
      <c r="L8" s="3" cm="1">
        <f t="array" ref="L8">_xlfn.IFS(F8="AUD",E8*$V$2,F8="CAD",E8*$V$3,F8="EUR",E8*$V$4,F8="GBP",E8*$V$5,F8="USD",E8*$V$6)</f>
        <v>894.13</v>
      </c>
      <c r="M8" s="3" cm="1">
        <f t="array" ref="M8">_xlfn.IFS(G8="Paid", L8, G8="Partial", L8*0.5, G8="Open", 0)</f>
        <v>0</v>
      </c>
      <c r="N8" s="3" cm="1">
        <f t="array" ref="N8">_xlfn.IFS(G8="Open", L8, G8="Partial", L8*0.5, G8="Paid", 0)</f>
        <v>894.13</v>
      </c>
    </row>
    <row r="9" spans="1:22" x14ac:dyDescent="0.25">
      <c r="A9" t="s">
        <v>13</v>
      </c>
      <c r="B9" t="s">
        <v>807</v>
      </c>
      <c r="C9" s="5">
        <v>45560</v>
      </c>
      <c r="D9" s="5">
        <v>45590</v>
      </c>
      <c r="E9" s="3">
        <v>1303.06</v>
      </c>
      <c r="F9" t="s">
        <v>813</v>
      </c>
      <c r="G9" t="s">
        <v>818</v>
      </c>
      <c r="H9" s="5">
        <v>45590</v>
      </c>
      <c r="I9" s="7">
        <f t="shared" si="0"/>
        <v>0</v>
      </c>
      <c r="J9" s="13" t="str" cm="1">
        <f t="array" ref="J9">_xlfn.IFS(I9=0, "Settled", I9&lt;=30, "1-30", I9&lt;=90, "31-90", I9&lt;=365, "91-365", I9&gt;365, "1 Year+")</f>
        <v>Settled</v>
      </c>
      <c r="K9" t="s">
        <v>819</v>
      </c>
      <c r="L9" s="3" cm="1">
        <f t="array" ref="L9">_xlfn.IFS(F9="AUD",E9*$V$2,F9="CAD",E9*$V$3,F9="EUR",E9*$V$4,F9="GBP",E9*$V$5,F9="USD",E9*$V$6)</f>
        <v>977.29499999999996</v>
      </c>
      <c r="M9" s="3" cm="1">
        <f t="array" ref="M9">_xlfn.IFS(G9="Paid", L9, G9="Partial", L9*0.5, G9="Open", 0)</f>
        <v>977.29499999999996</v>
      </c>
      <c r="N9" s="3" cm="1">
        <f t="array" ref="N9">_xlfn.IFS(G9="Open", L9, G9="Partial", L9*0.5, G9="Paid", 0)</f>
        <v>0</v>
      </c>
    </row>
    <row r="10" spans="1:22" x14ac:dyDescent="0.25">
      <c r="A10" t="s">
        <v>14</v>
      </c>
      <c r="B10" t="s">
        <v>808</v>
      </c>
      <c r="C10" s="5">
        <v>45334</v>
      </c>
      <c r="D10" s="5">
        <v>45364</v>
      </c>
      <c r="E10" s="3">
        <v>3481.8</v>
      </c>
      <c r="F10" t="s">
        <v>812</v>
      </c>
      <c r="G10" t="s">
        <v>818</v>
      </c>
      <c r="H10" s="5">
        <v>45364</v>
      </c>
      <c r="I10" s="7">
        <f t="shared" si="0"/>
        <v>0</v>
      </c>
      <c r="J10" s="13" t="str" cm="1">
        <f t="array" ref="J10">_xlfn.IFS(I10=0, "Settled", I10&lt;=30, "1-30", I10&lt;=90, "31-90", I10&lt;=365, "91-365", I10&gt;365, "1 Year+")</f>
        <v>Settled</v>
      </c>
      <c r="K10" t="s">
        <v>819</v>
      </c>
      <c r="L10" s="3" cm="1">
        <f t="array" ref="L10">_xlfn.IFS(F10="AUD",E10*$V$2,F10="CAD",E10*$V$3,F10="EUR",E10*$V$4,F10="GBP",E10*$V$5,F10="USD",E10*$V$6)</f>
        <v>4804.884</v>
      </c>
      <c r="M10" s="3" cm="1">
        <f t="array" ref="M10">_xlfn.IFS(G10="Paid", L10, G10="Partial", L10*0.5, G10="Open", 0)</f>
        <v>4804.884</v>
      </c>
      <c r="N10" s="3" cm="1">
        <f t="array" ref="N10">_xlfn.IFS(G10="Open", L10, G10="Partial", L10*0.5, G10="Paid", 0)</f>
        <v>0</v>
      </c>
    </row>
    <row r="11" spans="1:22" x14ac:dyDescent="0.25">
      <c r="A11" t="s">
        <v>15</v>
      </c>
      <c r="B11" t="s">
        <v>808</v>
      </c>
      <c r="C11" s="5">
        <v>45470</v>
      </c>
      <c r="D11" s="5">
        <v>45500</v>
      </c>
      <c r="E11" s="3">
        <v>217.97</v>
      </c>
      <c r="F11" t="s">
        <v>814</v>
      </c>
      <c r="G11" t="s">
        <v>816</v>
      </c>
      <c r="H11" s="5" t="s">
        <v>825</v>
      </c>
      <c r="I11" s="7">
        <f t="shared" si="0"/>
        <v>606</v>
      </c>
      <c r="J11" s="13" t="str" cm="1">
        <f t="array" ref="J11">_xlfn.IFS(I11=0, "Settled", I11&lt;=30, "1-30", I11&lt;=90, "31-90", I11&lt;=365, "91-365", I11&gt;365, "1 Year+")</f>
        <v>1 Year+</v>
      </c>
      <c r="K11" t="s">
        <v>819</v>
      </c>
      <c r="L11" s="3" cm="1">
        <f t="array" ref="L11">_xlfn.IFS(F11="AUD",E11*$V$2,F11="CAD",E11*$V$3,F11="EUR",E11*$V$4,F11="GBP",E11*$V$5,F11="USD",E11*$V$6)</f>
        <v>217.97</v>
      </c>
      <c r="M11" s="3" cm="1">
        <f t="array" ref="M11">_xlfn.IFS(G11="Paid", L11, G11="Partial", L11*0.5, G11="Open", 0)</f>
        <v>0</v>
      </c>
      <c r="N11" s="3" cm="1">
        <f t="array" ref="N11">_xlfn.IFS(G11="Open", L11, G11="Partial", L11*0.5, G11="Paid", 0)</f>
        <v>217.97</v>
      </c>
    </row>
    <row r="12" spans="1:22" x14ac:dyDescent="0.25">
      <c r="A12" t="s">
        <v>16</v>
      </c>
      <c r="B12" t="s">
        <v>806</v>
      </c>
      <c r="C12" s="5">
        <v>45360</v>
      </c>
      <c r="D12" s="5">
        <v>45390</v>
      </c>
      <c r="E12" s="3">
        <v>1809.07</v>
      </c>
      <c r="F12" t="s">
        <v>811</v>
      </c>
      <c r="G12" t="s">
        <v>817</v>
      </c>
      <c r="H12" s="5" t="s">
        <v>825</v>
      </c>
      <c r="I12" s="7">
        <f t="shared" si="0"/>
        <v>716</v>
      </c>
      <c r="J12" s="13" t="str" cm="1">
        <f t="array" ref="J12">_xlfn.IFS(I12=0, "Settled", I12&lt;=30, "1-30", I12&lt;=90, "31-90", I12&lt;=365, "91-365", I12&gt;365, "1 Year+")</f>
        <v>1 Year+</v>
      </c>
      <c r="K12" t="s">
        <v>819</v>
      </c>
      <c r="L12" s="3" cm="1">
        <f t="array" ref="L12">_xlfn.IFS(F12="AUD",E12*$V$2,F12="CAD",E12*$V$3,F12="EUR",E12*$V$4,F12="GBP",E12*$V$5,F12="USD",E12*$V$6)</f>
        <v>1555.8001999999999</v>
      </c>
      <c r="M12" s="3" cm="1">
        <f t="array" ref="M12">_xlfn.IFS(G12="Paid", L12, G12="Partial", L12*0.5, G12="Open", 0)</f>
        <v>777.90009999999995</v>
      </c>
      <c r="N12" s="3" cm="1">
        <f t="array" ref="N12">_xlfn.IFS(G12="Open", L12, G12="Partial", L12*0.5, G12="Paid", 0)</f>
        <v>777.90009999999995</v>
      </c>
    </row>
    <row r="13" spans="1:22" x14ac:dyDescent="0.25">
      <c r="A13" t="s">
        <v>17</v>
      </c>
      <c r="B13" t="s">
        <v>806</v>
      </c>
      <c r="C13" s="5">
        <v>45575</v>
      </c>
      <c r="D13" s="5">
        <v>45605</v>
      </c>
      <c r="E13" s="3">
        <v>884.1</v>
      </c>
      <c r="F13" t="s">
        <v>814</v>
      </c>
      <c r="G13" t="s">
        <v>816</v>
      </c>
      <c r="H13" s="5" t="s">
        <v>825</v>
      </c>
      <c r="I13" s="7">
        <f t="shared" si="0"/>
        <v>501</v>
      </c>
      <c r="J13" s="13" t="str" cm="1">
        <f t="array" ref="J13">_xlfn.IFS(I13=0, "Settled", I13&lt;=30, "1-30", I13&lt;=90, "31-90", I13&lt;=365, "91-365", I13&gt;365, "1 Year+")</f>
        <v>1 Year+</v>
      </c>
      <c r="K13" t="s">
        <v>819</v>
      </c>
      <c r="L13" s="3" cm="1">
        <f t="array" ref="L13">_xlfn.IFS(F13="AUD",E13*$V$2,F13="CAD",E13*$V$3,F13="EUR",E13*$V$4,F13="GBP",E13*$V$5,F13="USD",E13*$V$6)</f>
        <v>884.1</v>
      </c>
      <c r="M13" s="3" cm="1">
        <f t="array" ref="M13">_xlfn.IFS(G13="Paid", L13, G13="Partial", L13*0.5, G13="Open", 0)</f>
        <v>0</v>
      </c>
      <c r="N13" s="3" cm="1">
        <f t="array" ref="N13">_xlfn.IFS(G13="Open", L13, G13="Partial", L13*0.5, G13="Paid", 0)</f>
        <v>884.1</v>
      </c>
    </row>
    <row r="14" spans="1:22" x14ac:dyDescent="0.25">
      <c r="A14" t="s">
        <v>18</v>
      </c>
      <c r="B14" t="s">
        <v>808</v>
      </c>
      <c r="C14" s="5">
        <v>45065</v>
      </c>
      <c r="D14" s="5">
        <v>45095</v>
      </c>
      <c r="E14" s="3">
        <v>1491.7</v>
      </c>
      <c r="F14" t="s">
        <v>813</v>
      </c>
      <c r="G14" t="s">
        <v>816</v>
      </c>
      <c r="H14" s="5" t="s">
        <v>825</v>
      </c>
      <c r="I14" s="7">
        <f t="shared" si="0"/>
        <v>1011</v>
      </c>
      <c r="J14" s="13" t="str" cm="1">
        <f t="array" ref="J14">_xlfn.IFS(I14=0, "Settled", I14&lt;=30, "1-30", I14&lt;=90, "31-90", I14&lt;=365, "91-365", I14&gt;365, "1 Year+")</f>
        <v>1 Year+</v>
      </c>
      <c r="K14" t="s">
        <v>819</v>
      </c>
      <c r="L14" s="3" cm="1">
        <f t="array" ref="L14">_xlfn.IFS(F14="AUD",E14*$V$2,F14="CAD",E14*$V$3,F14="EUR",E14*$V$4,F14="GBP",E14*$V$5,F14="USD",E14*$V$6)</f>
        <v>1118.7750000000001</v>
      </c>
      <c r="M14" s="3" cm="1">
        <f t="array" ref="M14">_xlfn.IFS(G14="Paid", L14, G14="Partial", L14*0.5, G14="Open", 0)</f>
        <v>0</v>
      </c>
      <c r="N14" s="3" cm="1">
        <f t="array" ref="N14">_xlfn.IFS(G14="Open", L14, G14="Partial", L14*0.5, G14="Paid", 0)</f>
        <v>1118.7750000000001</v>
      </c>
    </row>
    <row r="15" spans="1:22" x14ac:dyDescent="0.25">
      <c r="A15" t="s">
        <v>19</v>
      </c>
      <c r="B15" t="s">
        <v>808</v>
      </c>
      <c r="C15" s="5">
        <v>45249</v>
      </c>
      <c r="D15" s="5">
        <v>45279</v>
      </c>
      <c r="E15" s="3">
        <v>4212.17</v>
      </c>
      <c r="F15" t="s">
        <v>815</v>
      </c>
      <c r="G15" t="s">
        <v>818</v>
      </c>
      <c r="H15" s="5">
        <v>45279</v>
      </c>
      <c r="I15" s="7">
        <f t="shared" si="0"/>
        <v>0</v>
      </c>
      <c r="J15" s="13" t="str" cm="1">
        <f t="array" ref="J15">_xlfn.IFS(I15=0, "Settled", I15&lt;=30, "1-30", I15&lt;=90, "31-90", I15&lt;=365, "91-365", I15&gt;365, "1 Year+")</f>
        <v>Settled</v>
      </c>
      <c r="K15" t="s">
        <v>819</v>
      </c>
      <c r="L15" s="3" cm="1">
        <f t="array" ref="L15">_xlfn.IFS(F15="AUD",E15*$V$2,F15="CAD",E15*$V$3,F15="EUR",E15*$V$4,F15="GBP",E15*$V$5,F15="USD",E15*$V$6)</f>
        <v>6107.6464999999998</v>
      </c>
      <c r="M15" s="3" cm="1">
        <f t="array" ref="M15">_xlfn.IFS(G15="Paid", L15, G15="Partial", L15*0.5, G15="Open", 0)</f>
        <v>6107.6464999999998</v>
      </c>
      <c r="N15" s="3" cm="1">
        <f t="array" ref="N15">_xlfn.IFS(G15="Open", L15, G15="Partial", L15*0.5, G15="Paid", 0)</f>
        <v>0</v>
      </c>
    </row>
    <row r="16" spans="1:22" x14ac:dyDescent="0.25">
      <c r="A16" t="s">
        <v>20</v>
      </c>
      <c r="B16" t="s">
        <v>806</v>
      </c>
      <c r="C16" s="5">
        <v>45417</v>
      </c>
      <c r="D16" s="5">
        <v>45447</v>
      </c>
      <c r="E16" s="3">
        <v>1632.82</v>
      </c>
      <c r="F16" t="s">
        <v>813</v>
      </c>
      <c r="G16" t="s">
        <v>816</v>
      </c>
      <c r="H16" s="5" t="s">
        <v>825</v>
      </c>
      <c r="I16" s="7">
        <f t="shared" si="0"/>
        <v>659</v>
      </c>
      <c r="J16" s="13" t="str" cm="1">
        <f t="array" ref="J16">_xlfn.IFS(I16=0, "Settled", I16&lt;=30, "1-30", I16&lt;=90, "31-90", I16&lt;=365, "91-365", I16&gt;365, "1 Year+")</f>
        <v>1 Year+</v>
      </c>
      <c r="K16" t="s">
        <v>819</v>
      </c>
      <c r="L16" s="3" cm="1">
        <f t="array" ref="L16">_xlfn.IFS(F16="AUD",E16*$V$2,F16="CAD",E16*$V$3,F16="EUR",E16*$V$4,F16="GBP",E16*$V$5,F16="USD",E16*$V$6)</f>
        <v>1224.615</v>
      </c>
      <c r="M16" s="3" cm="1">
        <f t="array" ref="M16">_xlfn.IFS(G16="Paid", L16, G16="Partial", L16*0.5, G16="Open", 0)</f>
        <v>0</v>
      </c>
      <c r="N16" s="3" cm="1">
        <f t="array" ref="N16">_xlfn.IFS(G16="Open", L16, G16="Partial", L16*0.5, G16="Paid", 0)</f>
        <v>1224.615</v>
      </c>
    </row>
    <row r="17" spans="1:14" x14ac:dyDescent="0.25">
      <c r="A17" t="s">
        <v>21</v>
      </c>
      <c r="B17" t="s">
        <v>806</v>
      </c>
      <c r="C17" s="5">
        <v>45081</v>
      </c>
      <c r="D17" s="5">
        <v>45111</v>
      </c>
      <c r="E17" s="3">
        <v>1887.67</v>
      </c>
      <c r="F17" t="s">
        <v>811</v>
      </c>
      <c r="G17" t="s">
        <v>818</v>
      </c>
      <c r="H17" s="5">
        <v>45111</v>
      </c>
      <c r="I17" s="7">
        <f t="shared" si="0"/>
        <v>0</v>
      </c>
      <c r="J17" s="13" t="str" cm="1">
        <f t="array" ref="J17">_xlfn.IFS(I17=0, "Settled", I17&lt;=30, "1-30", I17&lt;=90, "31-90", I17&lt;=365, "91-365", I17&gt;365, "1 Year+")</f>
        <v>Settled</v>
      </c>
      <c r="K17" t="s">
        <v>819</v>
      </c>
      <c r="L17" s="3" cm="1">
        <f t="array" ref="L17">_xlfn.IFS(F17="AUD",E17*$V$2,F17="CAD",E17*$V$3,F17="EUR",E17*$V$4,F17="GBP",E17*$V$5,F17="USD",E17*$V$6)</f>
        <v>1623.3962000000001</v>
      </c>
      <c r="M17" s="3" cm="1">
        <f t="array" ref="M17">_xlfn.IFS(G17="Paid", L17, G17="Partial", L17*0.5, G17="Open", 0)</f>
        <v>1623.3962000000001</v>
      </c>
      <c r="N17" s="3" cm="1">
        <f t="array" ref="N17">_xlfn.IFS(G17="Open", L17, G17="Partial", L17*0.5, G17="Paid", 0)</f>
        <v>0</v>
      </c>
    </row>
    <row r="18" spans="1:14" x14ac:dyDescent="0.25">
      <c r="A18" t="s">
        <v>22</v>
      </c>
      <c r="B18" t="s">
        <v>806</v>
      </c>
      <c r="C18" s="5">
        <v>45270</v>
      </c>
      <c r="D18" s="5">
        <v>45300</v>
      </c>
      <c r="E18" s="3">
        <v>1721.41</v>
      </c>
      <c r="F18" t="s">
        <v>813</v>
      </c>
      <c r="G18" t="s">
        <v>816</v>
      </c>
      <c r="H18" s="5" t="s">
        <v>825</v>
      </c>
      <c r="I18" s="7">
        <f t="shared" si="0"/>
        <v>806</v>
      </c>
      <c r="J18" s="13" t="str" cm="1">
        <f t="array" ref="J18">_xlfn.IFS(I18=0, "Settled", I18&lt;=30, "1-30", I18&lt;=90, "31-90", I18&lt;=365, "91-365", I18&gt;365, "1 Year+")</f>
        <v>1 Year+</v>
      </c>
      <c r="K18" t="s">
        <v>819</v>
      </c>
      <c r="L18" s="3" cm="1">
        <f t="array" ref="L18">_xlfn.IFS(F18="AUD",E18*$V$2,F18="CAD",E18*$V$3,F18="EUR",E18*$V$4,F18="GBP",E18*$V$5,F18="USD",E18*$V$6)</f>
        <v>1291.0575000000001</v>
      </c>
      <c r="M18" s="3" cm="1">
        <f t="array" ref="M18">_xlfn.IFS(G18="Paid", L18, G18="Partial", L18*0.5, G18="Open", 0)</f>
        <v>0</v>
      </c>
      <c r="N18" s="3" cm="1">
        <f t="array" ref="N18">_xlfn.IFS(G18="Open", L18, G18="Partial", L18*0.5, G18="Paid", 0)</f>
        <v>1291.0575000000001</v>
      </c>
    </row>
    <row r="19" spans="1:14" x14ac:dyDescent="0.25">
      <c r="A19" t="s">
        <v>23</v>
      </c>
      <c r="B19" t="s">
        <v>809</v>
      </c>
      <c r="C19" s="5">
        <v>45656</v>
      </c>
      <c r="D19" s="5">
        <v>45686</v>
      </c>
      <c r="E19" s="3">
        <v>2941.63</v>
      </c>
      <c r="F19" t="s">
        <v>814</v>
      </c>
      <c r="G19" t="s">
        <v>816</v>
      </c>
      <c r="H19" s="5" t="s">
        <v>825</v>
      </c>
      <c r="I19" s="7">
        <f t="shared" si="0"/>
        <v>420</v>
      </c>
      <c r="J19" s="13" t="str" cm="1">
        <f t="array" ref="J19">_xlfn.IFS(I19=0, "Settled", I19&lt;=30, "1-30", I19&lt;=90, "31-90", I19&lt;=365, "91-365", I19&gt;365, "1 Year+")</f>
        <v>1 Year+</v>
      </c>
      <c r="K19" t="s">
        <v>819</v>
      </c>
      <c r="L19" s="3" cm="1">
        <f t="array" ref="L19">_xlfn.IFS(F19="AUD",E19*$V$2,F19="CAD",E19*$V$3,F19="EUR",E19*$V$4,F19="GBP",E19*$V$5,F19="USD",E19*$V$6)</f>
        <v>2941.63</v>
      </c>
      <c r="M19" s="3" cm="1">
        <f t="array" ref="M19">_xlfn.IFS(G19="Paid", L19, G19="Partial", L19*0.5, G19="Open", 0)</f>
        <v>0</v>
      </c>
      <c r="N19" s="3" cm="1">
        <f t="array" ref="N19">_xlfn.IFS(G19="Open", L19, G19="Partial", L19*0.5, G19="Paid", 0)</f>
        <v>2941.63</v>
      </c>
    </row>
    <row r="20" spans="1:14" x14ac:dyDescent="0.25">
      <c r="A20" t="s">
        <v>24</v>
      </c>
      <c r="B20" t="s">
        <v>807</v>
      </c>
      <c r="C20" s="5">
        <v>45470</v>
      </c>
      <c r="D20" s="5">
        <v>45500</v>
      </c>
      <c r="E20" s="3">
        <v>889.44</v>
      </c>
      <c r="F20" t="s">
        <v>814</v>
      </c>
      <c r="G20" t="s">
        <v>818</v>
      </c>
      <c r="H20" s="5">
        <v>45500</v>
      </c>
      <c r="I20" s="7">
        <f t="shared" si="0"/>
        <v>0</v>
      </c>
      <c r="J20" s="13" t="str" cm="1">
        <f t="array" ref="J20">_xlfn.IFS(I20=0, "Settled", I20&lt;=30, "1-30", I20&lt;=90, "31-90", I20&lt;=365, "91-365", I20&gt;365, "1 Year+")</f>
        <v>Settled</v>
      </c>
      <c r="K20" t="s">
        <v>819</v>
      </c>
      <c r="L20" s="3" cm="1">
        <f t="array" ref="L20">_xlfn.IFS(F20="AUD",E20*$V$2,F20="CAD",E20*$V$3,F20="EUR",E20*$V$4,F20="GBP",E20*$V$5,F20="USD",E20*$V$6)</f>
        <v>889.44</v>
      </c>
      <c r="M20" s="3" cm="1">
        <f t="array" ref="M20">_xlfn.IFS(G20="Paid", L20, G20="Partial", L20*0.5, G20="Open", 0)</f>
        <v>889.44</v>
      </c>
      <c r="N20" s="3" cm="1">
        <f t="array" ref="N20">_xlfn.IFS(G20="Open", L20, G20="Partial", L20*0.5, G20="Paid", 0)</f>
        <v>0</v>
      </c>
    </row>
    <row r="21" spans="1:14" x14ac:dyDescent="0.25">
      <c r="A21" t="s">
        <v>25</v>
      </c>
      <c r="B21" t="s">
        <v>807</v>
      </c>
      <c r="C21" s="5">
        <v>45744</v>
      </c>
      <c r="D21" s="5">
        <v>45774</v>
      </c>
      <c r="E21" s="3">
        <v>1539.53</v>
      </c>
      <c r="F21" t="s">
        <v>815</v>
      </c>
      <c r="G21" t="s">
        <v>817</v>
      </c>
      <c r="H21" s="5" t="s">
        <v>825</v>
      </c>
      <c r="I21" s="7">
        <f t="shared" si="0"/>
        <v>332</v>
      </c>
      <c r="J21" s="13" t="str" cm="1">
        <f t="array" ref="J21">_xlfn.IFS(I21=0, "Settled", I21&lt;=30, "1-30", I21&lt;=90, "31-90", I21&lt;=365, "91-365", I21&gt;365, "1 Year+")</f>
        <v>91-365</v>
      </c>
      <c r="K21" t="s">
        <v>819</v>
      </c>
      <c r="L21" s="3" cm="1">
        <f t="array" ref="L21">_xlfn.IFS(F21="AUD",E21*$V$2,F21="CAD",E21*$V$3,F21="EUR",E21*$V$4,F21="GBP",E21*$V$5,F21="USD",E21*$V$6)</f>
        <v>2232.3184999999999</v>
      </c>
      <c r="M21" s="3" cm="1">
        <f t="array" ref="M21">_xlfn.IFS(G21="Paid", L21, G21="Partial", L21*0.5, G21="Open", 0)</f>
        <v>1116.1592499999999</v>
      </c>
      <c r="N21" s="3" cm="1">
        <f t="array" ref="N21">_xlfn.IFS(G21="Open", L21, G21="Partial", L21*0.5, G21="Paid", 0)</f>
        <v>1116.1592499999999</v>
      </c>
    </row>
    <row r="22" spans="1:14" x14ac:dyDescent="0.25">
      <c r="A22" t="s">
        <v>26</v>
      </c>
      <c r="B22" t="s">
        <v>810</v>
      </c>
      <c r="C22" s="5">
        <v>45121</v>
      </c>
      <c r="D22" s="5">
        <v>45151</v>
      </c>
      <c r="E22" s="3">
        <v>996.27</v>
      </c>
      <c r="F22" t="s">
        <v>815</v>
      </c>
      <c r="G22" t="s">
        <v>816</v>
      </c>
      <c r="H22" s="5" t="s">
        <v>825</v>
      </c>
      <c r="I22" s="7">
        <f t="shared" si="0"/>
        <v>955</v>
      </c>
      <c r="J22" s="13" t="str" cm="1">
        <f t="array" ref="J22">_xlfn.IFS(I22=0, "Settled", I22&lt;=30, "1-30", I22&lt;=90, "31-90", I22&lt;=365, "91-365", I22&gt;365, "1 Year+")</f>
        <v>1 Year+</v>
      </c>
      <c r="K22" t="s">
        <v>819</v>
      </c>
      <c r="L22" s="3" cm="1">
        <f t="array" ref="L22">_xlfn.IFS(F22="AUD",E22*$V$2,F22="CAD",E22*$V$3,F22="EUR",E22*$V$4,F22="GBP",E22*$V$5,F22="USD",E22*$V$6)</f>
        <v>1444.5915</v>
      </c>
      <c r="M22" s="3" cm="1">
        <f t="array" ref="M22">_xlfn.IFS(G22="Paid", L22, G22="Partial", L22*0.5, G22="Open", 0)</f>
        <v>0</v>
      </c>
      <c r="N22" s="3" cm="1">
        <f t="array" ref="N22">_xlfn.IFS(G22="Open", L22, G22="Partial", L22*0.5, G22="Paid", 0)</f>
        <v>1444.5915</v>
      </c>
    </row>
    <row r="23" spans="1:14" x14ac:dyDescent="0.25">
      <c r="A23" t="s">
        <v>27</v>
      </c>
      <c r="B23" t="s">
        <v>810</v>
      </c>
      <c r="C23" s="5">
        <v>45105</v>
      </c>
      <c r="D23" s="5">
        <v>45135</v>
      </c>
      <c r="E23" s="3">
        <v>2450.1</v>
      </c>
      <c r="F23" t="s">
        <v>812</v>
      </c>
      <c r="G23" t="s">
        <v>817</v>
      </c>
      <c r="H23" s="5" t="s">
        <v>825</v>
      </c>
      <c r="I23" s="7">
        <f t="shared" si="0"/>
        <v>971</v>
      </c>
      <c r="J23" s="13" t="str" cm="1">
        <f t="array" ref="J23">_xlfn.IFS(I23=0, "Settled", I23&lt;=30, "1-30", I23&lt;=90, "31-90", I23&lt;=365, "91-365", I23&gt;365, "1 Year+")</f>
        <v>1 Year+</v>
      </c>
      <c r="K23" t="s">
        <v>819</v>
      </c>
      <c r="L23" s="3" cm="1">
        <f t="array" ref="L23">_xlfn.IFS(F23="AUD",E23*$V$2,F23="CAD",E23*$V$3,F23="EUR",E23*$V$4,F23="GBP",E23*$V$5,F23="USD",E23*$V$6)</f>
        <v>3381.1379999999995</v>
      </c>
      <c r="M23" s="3" cm="1">
        <f t="array" ref="M23">_xlfn.IFS(G23="Paid", L23, G23="Partial", L23*0.5, G23="Open", 0)</f>
        <v>1690.5689999999997</v>
      </c>
      <c r="N23" s="3" cm="1">
        <f t="array" ref="N23">_xlfn.IFS(G23="Open", L23, G23="Partial", L23*0.5, G23="Paid", 0)</f>
        <v>1690.5689999999997</v>
      </c>
    </row>
    <row r="24" spans="1:14" x14ac:dyDescent="0.25">
      <c r="A24" t="s">
        <v>28</v>
      </c>
      <c r="B24" t="s">
        <v>809</v>
      </c>
      <c r="C24" s="5">
        <v>45653</v>
      </c>
      <c r="D24" s="5">
        <v>45683</v>
      </c>
      <c r="E24" s="3">
        <v>797.8</v>
      </c>
      <c r="F24" t="s">
        <v>812</v>
      </c>
      <c r="G24" t="s">
        <v>816</v>
      </c>
      <c r="H24" s="5" t="s">
        <v>825</v>
      </c>
      <c r="I24" s="7">
        <f t="shared" si="0"/>
        <v>423</v>
      </c>
      <c r="J24" s="13" t="str" cm="1">
        <f t="array" ref="J24">_xlfn.IFS(I24=0, "Settled", I24&lt;=30, "1-30", I24&lt;=90, "31-90", I24&lt;=365, "91-365", I24&gt;365, "1 Year+")</f>
        <v>1 Year+</v>
      </c>
      <c r="K24" t="s">
        <v>819</v>
      </c>
      <c r="L24" s="3" cm="1">
        <f t="array" ref="L24">_xlfn.IFS(F24="AUD",E24*$V$2,F24="CAD",E24*$V$3,F24="EUR",E24*$V$4,F24="GBP",E24*$V$5,F24="USD",E24*$V$6)</f>
        <v>1100.9639999999999</v>
      </c>
      <c r="M24" s="3" cm="1">
        <f t="array" ref="M24">_xlfn.IFS(G24="Paid", L24, G24="Partial", L24*0.5, G24="Open", 0)</f>
        <v>0</v>
      </c>
      <c r="N24" s="3" cm="1">
        <f t="array" ref="N24">_xlfn.IFS(G24="Open", L24, G24="Partial", L24*0.5, G24="Paid", 0)</f>
        <v>1100.9639999999999</v>
      </c>
    </row>
    <row r="25" spans="1:14" x14ac:dyDescent="0.25">
      <c r="A25" t="s">
        <v>29</v>
      </c>
      <c r="B25" t="s">
        <v>806</v>
      </c>
      <c r="C25" s="5">
        <v>45062</v>
      </c>
      <c r="D25" s="5">
        <v>45092</v>
      </c>
      <c r="E25" s="3">
        <v>4237.6499999999996</v>
      </c>
      <c r="F25" t="s">
        <v>813</v>
      </c>
      <c r="G25" t="s">
        <v>817</v>
      </c>
      <c r="H25" s="5" t="s">
        <v>825</v>
      </c>
      <c r="I25" s="7">
        <f t="shared" si="0"/>
        <v>1014</v>
      </c>
      <c r="J25" s="13" t="str" cm="1">
        <f t="array" ref="J25">_xlfn.IFS(I25=0, "Settled", I25&lt;=30, "1-30", I25&lt;=90, "31-90", I25&lt;=365, "91-365", I25&gt;365, "1 Year+")</f>
        <v>1 Year+</v>
      </c>
      <c r="K25" t="s">
        <v>819</v>
      </c>
      <c r="L25" s="3" cm="1">
        <f t="array" ref="L25">_xlfn.IFS(F25="AUD",E25*$V$2,F25="CAD",E25*$V$3,F25="EUR",E25*$V$4,F25="GBP",E25*$V$5,F25="USD",E25*$V$6)</f>
        <v>3178.2374999999997</v>
      </c>
      <c r="M25" s="3" cm="1">
        <f t="array" ref="M25">_xlfn.IFS(G25="Paid", L25, G25="Partial", L25*0.5, G25="Open", 0)</f>
        <v>1589.1187499999999</v>
      </c>
      <c r="N25" s="3" cm="1">
        <f t="array" ref="N25">_xlfn.IFS(G25="Open", L25, G25="Partial", L25*0.5, G25="Paid", 0)</f>
        <v>1589.1187499999999</v>
      </c>
    </row>
    <row r="26" spans="1:14" x14ac:dyDescent="0.25">
      <c r="A26" t="s">
        <v>30</v>
      </c>
      <c r="B26" t="s">
        <v>809</v>
      </c>
      <c r="C26" s="5">
        <v>45199</v>
      </c>
      <c r="D26" s="5">
        <v>45229</v>
      </c>
      <c r="E26" s="3">
        <v>665.06</v>
      </c>
      <c r="F26" t="s">
        <v>815</v>
      </c>
      <c r="G26" t="s">
        <v>816</v>
      </c>
      <c r="H26" s="5" t="s">
        <v>825</v>
      </c>
      <c r="I26" s="7">
        <f t="shared" si="0"/>
        <v>877</v>
      </c>
      <c r="J26" s="13" t="str" cm="1">
        <f t="array" ref="J26">_xlfn.IFS(I26=0, "Settled", I26&lt;=30, "1-30", I26&lt;=90, "31-90", I26&lt;=365, "91-365", I26&gt;365, "1 Year+")</f>
        <v>1 Year+</v>
      </c>
      <c r="K26" t="s">
        <v>819</v>
      </c>
      <c r="L26" s="3" cm="1">
        <f t="array" ref="L26">_xlfn.IFS(F26="AUD",E26*$V$2,F26="CAD",E26*$V$3,F26="EUR",E26*$V$4,F26="GBP",E26*$V$5,F26="USD",E26*$V$6)</f>
        <v>964.33699999999988</v>
      </c>
      <c r="M26" s="3" cm="1">
        <f t="array" ref="M26">_xlfn.IFS(G26="Paid", L26, G26="Partial", L26*0.5, G26="Open", 0)</f>
        <v>0</v>
      </c>
      <c r="N26" s="3" cm="1">
        <f t="array" ref="N26">_xlfn.IFS(G26="Open", L26, G26="Partial", L26*0.5, G26="Paid", 0)</f>
        <v>964.33699999999988</v>
      </c>
    </row>
    <row r="27" spans="1:14" x14ac:dyDescent="0.25">
      <c r="A27" t="s">
        <v>31</v>
      </c>
      <c r="B27" t="s">
        <v>809</v>
      </c>
      <c r="C27" s="5">
        <v>45640</v>
      </c>
      <c r="D27" s="5">
        <v>45670</v>
      </c>
      <c r="E27" s="3">
        <v>3849.16</v>
      </c>
      <c r="F27" t="s">
        <v>813</v>
      </c>
      <c r="G27" t="s">
        <v>817</v>
      </c>
      <c r="H27" s="5" t="s">
        <v>825</v>
      </c>
      <c r="I27" s="7">
        <f t="shared" si="0"/>
        <v>436</v>
      </c>
      <c r="J27" s="13" t="str" cm="1">
        <f t="array" ref="J27">_xlfn.IFS(I27=0, "Settled", I27&lt;=30, "1-30", I27&lt;=90, "31-90", I27&lt;=365, "91-365", I27&gt;365, "1 Year+")</f>
        <v>1 Year+</v>
      </c>
      <c r="K27" t="s">
        <v>819</v>
      </c>
      <c r="L27" s="3" cm="1">
        <f t="array" ref="L27">_xlfn.IFS(F27="AUD",E27*$V$2,F27="CAD",E27*$V$3,F27="EUR",E27*$V$4,F27="GBP",E27*$V$5,F27="USD",E27*$V$6)</f>
        <v>2886.87</v>
      </c>
      <c r="M27" s="3" cm="1">
        <f t="array" ref="M27">_xlfn.IFS(G27="Paid", L27, G27="Partial", L27*0.5, G27="Open", 0)</f>
        <v>1443.4349999999999</v>
      </c>
      <c r="N27" s="3" cm="1">
        <f t="array" ref="N27">_xlfn.IFS(G27="Open", L27, G27="Partial", L27*0.5, G27="Paid", 0)</f>
        <v>1443.4349999999999</v>
      </c>
    </row>
    <row r="28" spans="1:14" x14ac:dyDescent="0.25">
      <c r="A28" t="s">
        <v>32</v>
      </c>
      <c r="B28" t="s">
        <v>806</v>
      </c>
      <c r="C28" s="5">
        <v>45124</v>
      </c>
      <c r="D28" s="5">
        <v>45154</v>
      </c>
      <c r="E28" s="3">
        <v>4411.88</v>
      </c>
      <c r="F28" t="s">
        <v>812</v>
      </c>
      <c r="G28" t="s">
        <v>818</v>
      </c>
      <c r="H28" s="5">
        <v>45154</v>
      </c>
      <c r="I28" s="7">
        <f t="shared" si="0"/>
        <v>0</v>
      </c>
      <c r="J28" s="13" t="str" cm="1">
        <f t="array" ref="J28">_xlfn.IFS(I28=0, "Settled", I28&lt;=30, "1-30", I28&lt;=90, "31-90", I28&lt;=365, "91-365", I28&gt;365, "1 Year+")</f>
        <v>Settled</v>
      </c>
      <c r="K28" t="s">
        <v>819</v>
      </c>
      <c r="L28" s="3" cm="1">
        <f t="array" ref="L28">_xlfn.IFS(F28="AUD",E28*$V$2,F28="CAD",E28*$V$3,F28="EUR",E28*$V$4,F28="GBP",E28*$V$5,F28="USD",E28*$V$6)</f>
        <v>6088.3944000000001</v>
      </c>
      <c r="M28" s="3" cm="1">
        <f t="array" ref="M28">_xlfn.IFS(G28="Paid", L28, G28="Partial", L28*0.5, G28="Open", 0)</f>
        <v>6088.3944000000001</v>
      </c>
      <c r="N28" s="3" cm="1">
        <f t="array" ref="N28">_xlfn.IFS(G28="Open", L28, G28="Partial", L28*0.5, G28="Paid", 0)</f>
        <v>0</v>
      </c>
    </row>
    <row r="29" spans="1:14" x14ac:dyDescent="0.25">
      <c r="A29" t="s">
        <v>33</v>
      </c>
      <c r="B29" t="s">
        <v>807</v>
      </c>
      <c r="C29" s="5">
        <v>45376</v>
      </c>
      <c r="D29" s="5">
        <v>45406</v>
      </c>
      <c r="E29" s="3">
        <v>296.64999999999998</v>
      </c>
      <c r="F29" t="s">
        <v>814</v>
      </c>
      <c r="G29" t="s">
        <v>818</v>
      </c>
      <c r="H29" s="5">
        <v>45406</v>
      </c>
      <c r="I29" s="7">
        <f t="shared" si="0"/>
        <v>0</v>
      </c>
      <c r="J29" s="13" t="str" cm="1">
        <f t="array" ref="J29">_xlfn.IFS(I29=0, "Settled", I29&lt;=30, "1-30", I29&lt;=90, "31-90", I29&lt;=365, "91-365", I29&gt;365, "1 Year+")</f>
        <v>Settled</v>
      </c>
      <c r="K29" t="s">
        <v>819</v>
      </c>
      <c r="L29" s="3" cm="1">
        <f t="array" ref="L29">_xlfn.IFS(F29="AUD",E29*$V$2,F29="CAD",E29*$V$3,F29="EUR",E29*$V$4,F29="GBP",E29*$V$5,F29="USD",E29*$V$6)</f>
        <v>296.64999999999998</v>
      </c>
      <c r="M29" s="3" cm="1">
        <f t="array" ref="M29">_xlfn.IFS(G29="Paid", L29, G29="Partial", L29*0.5, G29="Open", 0)</f>
        <v>296.64999999999998</v>
      </c>
      <c r="N29" s="3" cm="1">
        <f t="array" ref="N29">_xlfn.IFS(G29="Open", L29, G29="Partial", L29*0.5, G29="Paid", 0)</f>
        <v>0</v>
      </c>
    </row>
    <row r="30" spans="1:14" x14ac:dyDescent="0.25">
      <c r="A30" t="s">
        <v>34</v>
      </c>
      <c r="B30" t="s">
        <v>810</v>
      </c>
      <c r="C30" s="5">
        <v>45593</v>
      </c>
      <c r="D30" s="5">
        <v>45623</v>
      </c>
      <c r="E30" s="3">
        <v>3099.8</v>
      </c>
      <c r="F30" t="s">
        <v>813</v>
      </c>
      <c r="G30" t="s">
        <v>816</v>
      </c>
      <c r="H30" s="5" t="s">
        <v>825</v>
      </c>
      <c r="I30" s="7">
        <f t="shared" si="0"/>
        <v>483</v>
      </c>
      <c r="J30" s="13" t="str" cm="1">
        <f t="array" ref="J30">_xlfn.IFS(I30=0, "Settled", I30&lt;=30, "1-30", I30&lt;=90, "31-90", I30&lt;=365, "91-365", I30&gt;365, "1 Year+")</f>
        <v>1 Year+</v>
      </c>
      <c r="K30" t="s">
        <v>819</v>
      </c>
      <c r="L30" s="3" cm="1">
        <f t="array" ref="L30">_xlfn.IFS(F30="AUD",E30*$V$2,F30="CAD",E30*$V$3,F30="EUR",E30*$V$4,F30="GBP",E30*$V$5,F30="USD",E30*$V$6)</f>
        <v>2324.8500000000004</v>
      </c>
      <c r="M30" s="3" cm="1">
        <f t="array" ref="M30">_xlfn.IFS(G30="Paid", L30, G30="Partial", L30*0.5, G30="Open", 0)</f>
        <v>0</v>
      </c>
      <c r="N30" s="3" cm="1">
        <f t="array" ref="N30">_xlfn.IFS(G30="Open", L30, G30="Partial", L30*0.5, G30="Paid", 0)</f>
        <v>2324.8500000000004</v>
      </c>
    </row>
    <row r="31" spans="1:14" x14ac:dyDescent="0.25">
      <c r="A31" t="s">
        <v>35</v>
      </c>
      <c r="B31" t="s">
        <v>809</v>
      </c>
      <c r="C31" s="5">
        <v>44991</v>
      </c>
      <c r="D31" s="5">
        <v>45021</v>
      </c>
      <c r="E31" s="3">
        <v>4007.29</v>
      </c>
      <c r="F31" t="s">
        <v>812</v>
      </c>
      <c r="G31" t="s">
        <v>816</v>
      </c>
      <c r="H31" s="5" t="s">
        <v>825</v>
      </c>
      <c r="I31" s="7">
        <f t="shared" si="0"/>
        <v>1085</v>
      </c>
      <c r="J31" s="13" t="str" cm="1">
        <f t="array" ref="J31">_xlfn.IFS(I31=0, "Settled", I31&lt;=30, "1-30", I31&lt;=90, "31-90", I31&lt;=365, "91-365", I31&gt;365, "1 Year+")</f>
        <v>1 Year+</v>
      </c>
      <c r="K31" t="s">
        <v>819</v>
      </c>
      <c r="L31" s="3" cm="1">
        <f t="array" ref="L31">_xlfn.IFS(F31="AUD",E31*$V$2,F31="CAD",E31*$V$3,F31="EUR",E31*$V$4,F31="GBP",E31*$V$5,F31="USD",E31*$V$6)</f>
        <v>5530.0601999999999</v>
      </c>
      <c r="M31" s="3" cm="1">
        <f t="array" ref="M31">_xlfn.IFS(G31="Paid", L31, G31="Partial", L31*0.5, G31="Open", 0)</f>
        <v>0</v>
      </c>
      <c r="N31" s="3" cm="1">
        <f t="array" ref="N31">_xlfn.IFS(G31="Open", L31, G31="Partial", L31*0.5, G31="Paid", 0)</f>
        <v>5530.0601999999999</v>
      </c>
    </row>
    <row r="32" spans="1:14" x14ac:dyDescent="0.25">
      <c r="A32" t="s">
        <v>36</v>
      </c>
      <c r="B32" t="s">
        <v>807</v>
      </c>
      <c r="C32" s="5">
        <v>45335</v>
      </c>
      <c r="D32" s="5">
        <v>45365</v>
      </c>
      <c r="E32" s="3">
        <v>2884.32</v>
      </c>
      <c r="F32" t="s">
        <v>812</v>
      </c>
      <c r="G32" t="s">
        <v>817</v>
      </c>
      <c r="H32" s="5" t="s">
        <v>825</v>
      </c>
      <c r="I32" s="7">
        <f t="shared" si="0"/>
        <v>741</v>
      </c>
      <c r="J32" s="13" t="str" cm="1">
        <f t="array" ref="J32">_xlfn.IFS(I32=0, "Settled", I32&lt;=30, "1-30", I32&lt;=90, "31-90", I32&lt;=365, "91-365", I32&gt;365, "1 Year+")</f>
        <v>1 Year+</v>
      </c>
      <c r="K32" t="s">
        <v>819</v>
      </c>
      <c r="L32" s="3" cm="1">
        <f t="array" ref="L32">_xlfn.IFS(F32="AUD",E32*$V$2,F32="CAD",E32*$V$3,F32="EUR",E32*$V$4,F32="GBP",E32*$V$5,F32="USD",E32*$V$6)</f>
        <v>3980.3615999999997</v>
      </c>
      <c r="M32" s="3" cm="1">
        <f t="array" ref="M32">_xlfn.IFS(G32="Paid", L32, G32="Partial", L32*0.5, G32="Open", 0)</f>
        <v>1990.1807999999999</v>
      </c>
      <c r="N32" s="3" cm="1">
        <f t="array" ref="N32">_xlfn.IFS(G32="Open", L32, G32="Partial", L32*0.5, G32="Paid", 0)</f>
        <v>1990.1807999999999</v>
      </c>
    </row>
    <row r="33" spans="1:14" x14ac:dyDescent="0.25">
      <c r="A33" t="s">
        <v>37</v>
      </c>
      <c r="B33" t="s">
        <v>807</v>
      </c>
      <c r="C33" s="5">
        <v>45000</v>
      </c>
      <c r="D33" s="5">
        <v>45030</v>
      </c>
      <c r="E33" s="3">
        <v>4830.24</v>
      </c>
      <c r="F33" t="s">
        <v>811</v>
      </c>
      <c r="G33" t="s">
        <v>818</v>
      </c>
      <c r="H33" s="5">
        <v>45030</v>
      </c>
      <c r="I33" s="7">
        <f t="shared" si="0"/>
        <v>0</v>
      </c>
      <c r="J33" s="13" t="str" cm="1">
        <f t="array" ref="J33">_xlfn.IFS(I33=0, "Settled", I33&lt;=30, "1-30", I33&lt;=90, "31-90", I33&lt;=365, "91-365", I33&gt;365, "1 Year+")</f>
        <v>Settled</v>
      </c>
      <c r="K33" t="s">
        <v>819</v>
      </c>
      <c r="L33" s="3" cm="1">
        <f t="array" ref="L33">_xlfn.IFS(F33="AUD",E33*$V$2,F33="CAD",E33*$V$3,F33="EUR",E33*$V$4,F33="GBP",E33*$V$5,F33="USD",E33*$V$6)</f>
        <v>4154.0063999999993</v>
      </c>
      <c r="M33" s="3" cm="1">
        <f t="array" ref="M33">_xlfn.IFS(G33="Paid", L33, G33="Partial", L33*0.5, G33="Open", 0)</f>
        <v>4154.0063999999993</v>
      </c>
      <c r="N33" s="3" cm="1">
        <f t="array" ref="N33">_xlfn.IFS(G33="Open", L33, G33="Partial", L33*0.5, G33="Paid", 0)</f>
        <v>0</v>
      </c>
    </row>
    <row r="34" spans="1:14" x14ac:dyDescent="0.25">
      <c r="A34" t="s">
        <v>38</v>
      </c>
      <c r="B34" t="s">
        <v>809</v>
      </c>
      <c r="C34" s="5">
        <v>45210</v>
      </c>
      <c r="D34" s="5">
        <v>45240</v>
      </c>
      <c r="E34" s="3">
        <v>4841.22</v>
      </c>
      <c r="F34" t="s">
        <v>814</v>
      </c>
      <c r="G34" t="s">
        <v>818</v>
      </c>
      <c r="H34" s="5">
        <v>45240</v>
      </c>
      <c r="I34" s="7">
        <f t="shared" si="0"/>
        <v>0</v>
      </c>
      <c r="J34" s="13" t="str" cm="1">
        <f t="array" ref="J34">_xlfn.IFS(I34=0, "Settled", I34&lt;=30, "1-30", I34&lt;=90, "31-90", I34&lt;=365, "91-365", I34&gt;365, "1 Year+")</f>
        <v>Settled</v>
      </c>
      <c r="K34" t="s">
        <v>819</v>
      </c>
      <c r="L34" s="3" cm="1">
        <f t="array" ref="L34">_xlfn.IFS(F34="AUD",E34*$V$2,F34="CAD",E34*$V$3,F34="EUR",E34*$V$4,F34="GBP",E34*$V$5,F34="USD",E34*$V$6)</f>
        <v>4841.22</v>
      </c>
      <c r="M34" s="3" cm="1">
        <f t="array" ref="M34">_xlfn.IFS(G34="Paid", L34, G34="Partial", L34*0.5, G34="Open", 0)</f>
        <v>4841.22</v>
      </c>
      <c r="N34" s="3" cm="1">
        <f t="array" ref="N34">_xlfn.IFS(G34="Open", L34, G34="Partial", L34*0.5, G34="Paid", 0)</f>
        <v>0</v>
      </c>
    </row>
    <row r="35" spans="1:14" x14ac:dyDescent="0.25">
      <c r="A35" t="s">
        <v>39</v>
      </c>
      <c r="B35" t="s">
        <v>808</v>
      </c>
      <c r="C35" s="5">
        <v>45598</v>
      </c>
      <c r="D35" s="5">
        <v>45628</v>
      </c>
      <c r="E35" s="3">
        <v>3601.17</v>
      </c>
      <c r="F35" t="s">
        <v>815</v>
      </c>
      <c r="G35" t="s">
        <v>816</v>
      </c>
      <c r="H35" s="5" t="s">
        <v>825</v>
      </c>
      <c r="I35" s="7">
        <f t="shared" si="0"/>
        <v>478</v>
      </c>
      <c r="J35" s="13" t="str" cm="1">
        <f t="array" ref="J35">_xlfn.IFS(I35=0, "Settled", I35&lt;=30, "1-30", I35&lt;=90, "31-90", I35&lt;=365, "91-365", I35&gt;365, "1 Year+")</f>
        <v>1 Year+</v>
      </c>
      <c r="K35" t="s">
        <v>819</v>
      </c>
      <c r="L35" s="3" cm="1">
        <f t="array" ref="L35">_xlfn.IFS(F35="AUD",E35*$V$2,F35="CAD",E35*$V$3,F35="EUR",E35*$V$4,F35="GBP",E35*$V$5,F35="USD",E35*$V$6)</f>
        <v>5221.6965</v>
      </c>
      <c r="M35" s="3" cm="1">
        <f t="array" ref="M35">_xlfn.IFS(G35="Paid", L35, G35="Partial", L35*0.5, G35="Open", 0)</f>
        <v>0</v>
      </c>
      <c r="N35" s="3" cm="1">
        <f t="array" ref="N35">_xlfn.IFS(G35="Open", L35, G35="Partial", L35*0.5, G35="Paid", 0)</f>
        <v>5221.6965</v>
      </c>
    </row>
    <row r="36" spans="1:14" x14ac:dyDescent="0.25">
      <c r="A36" t="s">
        <v>40</v>
      </c>
      <c r="B36" t="s">
        <v>807</v>
      </c>
      <c r="C36" s="5">
        <v>45668</v>
      </c>
      <c r="D36" s="5">
        <v>45698</v>
      </c>
      <c r="E36" s="3">
        <v>3913.65</v>
      </c>
      <c r="F36" t="s">
        <v>813</v>
      </c>
      <c r="G36" t="s">
        <v>818</v>
      </c>
      <c r="H36" s="5">
        <v>45698</v>
      </c>
      <c r="I36" s="7">
        <f t="shared" si="0"/>
        <v>0</v>
      </c>
      <c r="J36" s="13" t="str" cm="1">
        <f t="array" ref="J36">_xlfn.IFS(I36=0, "Settled", I36&lt;=30, "1-30", I36&lt;=90, "31-90", I36&lt;=365, "91-365", I36&gt;365, "1 Year+")</f>
        <v>Settled</v>
      </c>
      <c r="K36" t="s">
        <v>819</v>
      </c>
      <c r="L36" s="3" cm="1">
        <f t="array" ref="L36">_xlfn.IFS(F36="AUD",E36*$V$2,F36="CAD",E36*$V$3,F36="EUR",E36*$V$4,F36="GBP",E36*$V$5,F36="USD",E36*$V$6)</f>
        <v>2935.2375000000002</v>
      </c>
      <c r="M36" s="3" cm="1">
        <f t="array" ref="M36">_xlfn.IFS(G36="Paid", L36, G36="Partial", L36*0.5, G36="Open", 0)</f>
        <v>2935.2375000000002</v>
      </c>
      <c r="N36" s="3" cm="1">
        <f t="array" ref="N36">_xlfn.IFS(G36="Open", L36, G36="Partial", L36*0.5, G36="Paid", 0)</f>
        <v>0</v>
      </c>
    </row>
    <row r="37" spans="1:14" x14ac:dyDescent="0.25">
      <c r="A37" t="s">
        <v>41</v>
      </c>
      <c r="B37" t="s">
        <v>808</v>
      </c>
      <c r="C37" s="5">
        <v>45025</v>
      </c>
      <c r="D37" s="5">
        <v>45055</v>
      </c>
      <c r="E37" s="3">
        <v>1117.52</v>
      </c>
      <c r="F37" t="s">
        <v>812</v>
      </c>
      <c r="G37" t="s">
        <v>816</v>
      </c>
      <c r="H37" s="5" t="s">
        <v>825</v>
      </c>
      <c r="I37" s="7">
        <f t="shared" si="0"/>
        <v>1051</v>
      </c>
      <c r="J37" s="13" t="str" cm="1">
        <f t="array" ref="J37">_xlfn.IFS(I37=0, "Settled", I37&lt;=30, "1-30", I37&lt;=90, "31-90", I37&lt;=365, "91-365", I37&gt;365, "1 Year+")</f>
        <v>1 Year+</v>
      </c>
      <c r="K37" t="s">
        <v>819</v>
      </c>
      <c r="L37" s="3" cm="1">
        <f t="array" ref="L37">_xlfn.IFS(F37="AUD",E37*$V$2,F37="CAD",E37*$V$3,F37="EUR",E37*$V$4,F37="GBP",E37*$V$5,F37="USD",E37*$V$6)</f>
        <v>1542.1775999999998</v>
      </c>
      <c r="M37" s="3" cm="1">
        <f t="array" ref="M37">_xlfn.IFS(G37="Paid", L37, G37="Partial", L37*0.5, G37="Open", 0)</f>
        <v>0</v>
      </c>
      <c r="N37" s="3" cm="1">
        <f t="array" ref="N37">_xlfn.IFS(G37="Open", L37, G37="Partial", L37*0.5, G37="Paid", 0)</f>
        <v>1542.1775999999998</v>
      </c>
    </row>
    <row r="38" spans="1:14" x14ac:dyDescent="0.25">
      <c r="A38" t="s">
        <v>42</v>
      </c>
      <c r="B38" t="s">
        <v>806</v>
      </c>
      <c r="C38" s="5">
        <v>45128</v>
      </c>
      <c r="D38" s="5">
        <v>45158</v>
      </c>
      <c r="E38" s="3">
        <v>4178.2</v>
      </c>
      <c r="F38" t="s">
        <v>812</v>
      </c>
      <c r="G38" t="s">
        <v>817</v>
      </c>
      <c r="H38" s="5" t="s">
        <v>825</v>
      </c>
      <c r="I38" s="7">
        <f t="shared" si="0"/>
        <v>948</v>
      </c>
      <c r="J38" s="13" t="str" cm="1">
        <f t="array" ref="J38">_xlfn.IFS(I38=0, "Settled", I38&lt;=30, "1-30", I38&lt;=90, "31-90", I38&lt;=365, "91-365", I38&gt;365, "1 Year+")</f>
        <v>1 Year+</v>
      </c>
      <c r="K38" t="s">
        <v>819</v>
      </c>
      <c r="L38" s="3" cm="1">
        <f t="array" ref="L38">_xlfn.IFS(F38="AUD",E38*$V$2,F38="CAD",E38*$V$3,F38="EUR",E38*$V$4,F38="GBP",E38*$V$5,F38="USD",E38*$V$6)</f>
        <v>5765.9159999999993</v>
      </c>
      <c r="M38" s="3" cm="1">
        <f t="array" ref="M38">_xlfn.IFS(G38="Paid", L38, G38="Partial", L38*0.5, G38="Open", 0)</f>
        <v>2882.9579999999996</v>
      </c>
      <c r="N38" s="3" cm="1">
        <f t="array" ref="N38">_xlfn.IFS(G38="Open", L38, G38="Partial", L38*0.5, G38="Paid", 0)</f>
        <v>2882.9579999999996</v>
      </c>
    </row>
    <row r="39" spans="1:14" x14ac:dyDescent="0.25">
      <c r="A39" t="s">
        <v>43</v>
      </c>
      <c r="B39" t="s">
        <v>809</v>
      </c>
      <c r="C39" s="5">
        <v>45504</v>
      </c>
      <c r="D39" s="5">
        <v>45534</v>
      </c>
      <c r="E39" s="3">
        <v>504.02</v>
      </c>
      <c r="F39" t="s">
        <v>814</v>
      </c>
      <c r="G39" t="s">
        <v>817</v>
      </c>
      <c r="H39" s="5" t="s">
        <v>825</v>
      </c>
      <c r="I39" s="7">
        <f t="shared" si="0"/>
        <v>572</v>
      </c>
      <c r="J39" s="13" t="str" cm="1">
        <f t="array" ref="J39">_xlfn.IFS(I39=0, "Settled", I39&lt;=30, "1-30", I39&lt;=90, "31-90", I39&lt;=365, "91-365", I39&gt;365, "1 Year+")</f>
        <v>1 Year+</v>
      </c>
      <c r="K39" t="s">
        <v>819</v>
      </c>
      <c r="L39" s="3" cm="1">
        <f t="array" ref="L39">_xlfn.IFS(F39="AUD",E39*$V$2,F39="CAD",E39*$V$3,F39="EUR",E39*$V$4,F39="GBP",E39*$V$5,F39="USD",E39*$V$6)</f>
        <v>504.02</v>
      </c>
      <c r="M39" s="3" cm="1">
        <f t="array" ref="M39">_xlfn.IFS(G39="Paid", L39, G39="Partial", L39*0.5, G39="Open", 0)</f>
        <v>252.01</v>
      </c>
      <c r="N39" s="3" cm="1">
        <f t="array" ref="N39">_xlfn.IFS(G39="Open", L39, G39="Partial", L39*0.5, G39="Paid", 0)</f>
        <v>252.01</v>
      </c>
    </row>
    <row r="40" spans="1:14" x14ac:dyDescent="0.25">
      <c r="A40" t="s">
        <v>44</v>
      </c>
      <c r="B40" t="s">
        <v>806</v>
      </c>
      <c r="C40" s="5">
        <v>44934</v>
      </c>
      <c r="D40" s="5">
        <v>44964</v>
      </c>
      <c r="E40" s="3">
        <v>3156.05</v>
      </c>
      <c r="F40" t="s">
        <v>813</v>
      </c>
      <c r="G40" t="s">
        <v>816</v>
      </c>
      <c r="H40" s="5" t="s">
        <v>825</v>
      </c>
      <c r="I40" s="7">
        <f t="shared" si="0"/>
        <v>1142</v>
      </c>
      <c r="J40" s="13" t="str" cm="1">
        <f t="array" ref="J40">_xlfn.IFS(I40=0, "Settled", I40&lt;=30, "1-30", I40&lt;=90, "31-90", I40&lt;=365, "91-365", I40&gt;365, "1 Year+")</f>
        <v>1 Year+</v>
      </c>
      <c r="K40" t="s">
        <v>819</v>
      </c>
      <c r="L40" s="3" cm="1">
        <f t="array" ref="L40">_xlfn.IFS(F40="AUD",E40*$V$2,F40="CAD",E40*$V$3,F40="EUR",E40*$V$4,F40="GBP",E40*$V$5,F40="USD",E40*$V$6)</f>
        <v>2367.0375000000004</v>
      </c>
      <c r="M40" s="3" cm="1">
        <f t="array" ref="M40">_xlfn.IFS(G40="Paid", L40, G40="Partial", L40*0.5, G40="Open", 0)</f>
        <v>0</v>
      </c>
      <c r="N40" s="3" cm="1">
        <f t="array" ref="N40">_xlfn.IFS(G40="Open", L40, G40="Partial", L40*0.5, G40="Paid", 0)</f>
        <v>2367.0375000000004</v>
      </c>
    </row>
    <row r="41" spans="1:14" x14ac:dyDescent="0.25">
      <c r="A41" t="s">
        <v>45</v>
      </c>
      <c r="B41" t="s">
        <v>809</v>
      </c>
      <c r="C41" s="5">
        <v>45108</v>
      </c>
      <c r="D41" s="5">
        <v>45138</v>
      </c>
      <c r="E41" s="3">
        <v>3284.77</v>
      </c>
      <c r="F41" t="s">
        <v>811</v>
      </c>
      <c r="G41" t="s">
        <v>817</v>
      </c>
      <c r="H41" s="5" t="s">
        <v>825</v>
      </c>
      <c r="I41" s="7">
        <f t="shared" si="0"/>
        <v>968</v>
      </c>
      <c r="J41" s="13" t="str" cm="1">
        <f t="array" ref="J41">_xlfn.IFS(I41=0, "Settled", I41&lt;=30, "1-30", I41&lt;=90, "31-90", I41&lt;=365, "91-365", I41&gt;365, "1 Year+")</f>
        <v>1 Year+</v>
      </c>
      <c r="K41" t="s">
        <v>819</v>
      </c>
      <c r="L41" s="3" cm="1">
        <f t="array" ref="L41">_xlfn.IFS(F41="AUD",E41*$V$2,F41="CAD",E41*$V$3,F41="EUR",E41*$V$4,F41="GBP",E41*$V$5,F41="USD",E41*$V$6)</f>
        <v>2824.9022</v>
      </c>
      <c r="M41" s="3" cm="1">
        <f t="array" ref="M41">_xlfn.IFS(G41="Paid", L41, G41="Partial", L41*0.5, G41="Open", 0)</f>
        <v>1412.4511</v>
      </c>
      <c r="N41" s="3" cm="1">
        <f t="array" ref="N41">_xlfn.IFS(G41="Open", L41, G41="Partial", L41*0.5, G41="Paid", 0)</f>
        <v>1412.4511</v>
      </c>
    </row>
    <row r="42" spans="1:14" x14ac:dyDescent="0.25">
      <c r="A42" t="s">
        <v>46</v>
      </c>
      <c r="B42" t="s">
        <v>809</v>
      </c>
      <c r="C42" s="5">
        <v>45801</v>
      </c>
      <c r="D42" s="5">
        <v>45831</v>
      </c>
      <c r="E42" s="3">
        <v>4519.76</v>
      </c>
      <c r="F42" t="s">
        <v>814</v>
      </c>
      <c r="G42" t="s">
        <v>816</v>
      </c>
      <c r="H42" s="5" t="s">
        <v>825</v>
      </c>
      <c r="I42" s="7">
        <f t="shared" si="0"/>
        <v>275</v>
      </c>
      <c r="J42" s="13" t="str" cm="1">
        <f t="array" ref="J42">_xlfn.IFS(I42=0, "Settled", I42&lt;=30, "1-30", I42&lt;=90, "31-90", I42&lt;=365, "91-365", I42&gt;365, "1 Year+")</f>
        <v>91-365</v>
      </c>
      <c r="K42" t="s">
        <v>819</v>
      </c>
      <c r="L42" s="3" cm="1">
        <f t="array" ref="L42">_xlfn.IFS(F42="AUD",E42*$V$2,F42="CAD",E42*$V$3,F42="EUR",E42*$V$4,F42="GBP",E42*$V$5,F42="USD",E42*$V$6)</f>
        <v>4519.76</v>
      </c>
      <c r="M42" s="3" cm="1">
        <f t="array" ref="M42">_xlfn.IFS(G42="Paid", L42, G42="Partial", L42*0.5, G42="Open", 0)</f>
        <v>0</v>
      </c>
      <c r="N42" s="3" cm="1">
        <f t="array" ref="N42">_xlfn.IFS(G42="Open", L42, G42="Partial", L42*0.5, G42="Paid", 0)</f>
        <v>4519.76</v>
      </c>
    </row>
    <row r="43" spans="1:14" x14ac:dyDescent="0.25">
      <c r="A43" t="s">
        <v>47</v>
      </c>
      <c r="B43" t="s">
        <v>806</v>
      </c>
      <c r="C43" s="5">
        <v>45313</v>
      </c>
      <c r="D43" s="5">
        <v>45343</v>
      </c>
      <c r="E43" s="3">
        <v>4094.28</v>
      </c>
      <c r="F43" t="s">
        <v>811</v>
      </c>
      <c r="G43" t="s">
        <v>817</v>
      </c>
      <c r="H43" s="5" t="s">
        <v>825</v>
      </c>
      <c r="I43" s="7">
        <f t="shared" si="0"/>
        <v>763</v>
      </c>
      <c r="J43" s="13" t="str" cm="1">
        <f t="array" ref="J43">_xlfn.IFS(I43=0, "Settled", I43&lt;=30, "1-30", I43&lt;=90, "31-90", I43&lt;=365, "91-365", I43&gt;365, "1 Year+")</f>
        <v>1 Year+</v>
      </c>
      <c r="K43" t="s">
        <v>819</v>
      </c>
      <c r="L43" s="3" cm="1">
        <f t="array" ref="L43">_xlfn.IFS(F43="AUD",E43*$V$2,F43="CAD",E43*$V$3,F43="EUR",E43*$V$4,F43="GBP",E43*$V$5,F43="USD",E43*$V$6)</f>
        <v>3521.0808000000002</v>
      </c>
      <c r="M43" s="3" cm="1">
        <f t="array" ref="M43">_xlfn.IFS(G43="Paid", L43, G43="Partial", L43*0.5, G43="Open", 0)</f>
        <v>1760.5404000000001</v>
      </c>
      <c r="N43" s="3" cm="1">
        <f t="array" ref="N43">_xlfn.IFS(G43="Open", L43, G43="Partial", L43*0.5, G43="Paid", 0)</f>
        <v>1760.5404000000001</v>
      </c>
    </row>
    <row r="44" spans="1:14" x14ac:dyDescent="0.25">
      <c r="A44" t="s">
        <v>48</v>
      </c>
      <c r="B44" t="s">
        <v>806</v>
      </c>
      <c r="C44" s="5">
        <v>44967</v>
      </c>
      <c r="D44" s="5">
        <v>44997</v>
      </c>
      <c r="E44" s="3">
        <v>3097.79</v>
      </c>
      <c r="F44" t="s">
        <v>811</v>
      </c>
      <c r="G44" t="s">
        <v>818</v>
      </c>
      <c r="H44" s="5">
        <v>44997</v>
      </c>
      <c r="I44" s="7">
        <f t="shared" si="0"/>
        <v>0</v>
      </c>
      <c r="J44" s="13" t="str" cm="1">
        <f t="array" ref="J44">_xlfn.IFS(I44=0, "Settled", I44&lt;=30, "1-30", I44&lt;=90, "31-90", I44&lt;=365, "91-365", I44&gt;365, "1 Year+")</f>
        <v>Settled</v>
      </c>
      <c r="K44" t="s">
        <v>819</v>
      </c>
      <c r="L44" s="3" cm="1">
        <f t="array" ref="L44">_xlfn.IFS(F44="AUD",E44*$V$2,F44="CAD",E44*$V$3,F44="EUR",E44*$V$4,F44="GBP",E44*$V$5,F44="USD",E44*$V$6)</f>
        <v>2664.0994000000001</v>
      </c>
      <c r="M44" s="3" cm="1">
        <f t="array" ref="M44">_xlfn.IFS(G44="Paid", L44, G44="Partial", L44*0.5, G44="Open", 0)</f>
        <v>2664.0994000000001</v>
      </c>
      <c r="N44" s="3" cm="1">
        <f t="array" ref="N44">_xlfn.IFS(G44="Open", L44, G44="Partial", L44*0.5, G44="Paid", 0)</f>
        <v>0</v>
      </c>
    </row>
    <row r="45" spans="1:14" x14ac:dyDescent="0.25">
      <c r="A45" t="s">
        <v>49</v>
      </c>
      <c r="B45" t="s">
        <v>807</v>
      </c>
      <c r="C45" s="5">
        <v>45809</v>
      </c>
      <c r="D45" s="5">
        <v>45839</v>
      </c>
      <c r="E45" s="3">
        <v>1415.24</v>
      </c>
      <c r="F45" t="s">
        <v>815</v>
      </c>
      <c r="G45" t="s">
        <v>817</v>
      </c>
      <c r="H45" s="5" t="s">
        <v>825</v>
      </c>
      <c r="I45" s="7">
        <f t="shared" si="0"/>
        <v>267</v>
      </c>
      <c r="J45" s="13" t="str" cm="1">
        <f t="array" ref="J45">_xlfn.IFS(I45=0, "Settled", I45&lt;=30, "1-30", I45&lt;=90, "31-90", I45&lt;=365, "91-365", I45&gt;365, "1 Year+")</f>
        <v>91-365</v>
      </c>
      <c r="K45" t="s">
        <v>819</v>
      </c>
      <c r="L45" s="3" cm="1">
        <f t="array" ref="L45">_xlfn.IFS(F45="AUD",E45*$V$2,F45="CAD",E45*$V$3,F45="EUR",E45*$V$4,F45="GBP",E45*$V$5,F45="USD",E45*$V$6)</f>
        <v>2052.098</v>
      </c>
      <c r="M45" s="3" cm="1">
        <f t="array" ref="M45">_xlfn.IFS(G45="Paid", L45, G45="Partial", L45*0.5, G45="Open", 0)</f>
        <v>1026.049</v>
      </c>
      <c r="N45" s="3" cm="1">
        <f t="array" ref="N45">_xlfn.IFS(G45="Open", L45, G45="Partial", L45*0.5, G45="Paid", 0)</f>
        <v>1026.049</v>
      </c>
    </row>
    <row r="46" spans="1:14" x14ac:dyDescent="0.25">
      <c r="A46" t="s">
        <v>50</v>
      </c>
      <c r="B46" t="s">
        <v>806</v>
      </c>
      <c r="C46" s="5">
        <v>45102</v>
      </c>
      <c r="D46" s="5">
        <v>45132</v>
      </c>
      <c r="E46" s="3">
        <v>3224.33</v>
      </c>
      <c r="F46" t="s">
        <v>813</v>
      </c>
      <c r="G46" t="s">
        <v>817</v>
      </c>
      <c r="H46" s="5" t="s">
        <v>825</v>
      </c>
      <c r="I46" s="7">
        <f t="shared" si="0"/>
        <v>974</v>
      </c>
      <c r="J46" s="13" t="str" cm="1">
        <f t="array" ref="J46">_xlfn.IFS(I46=0, "Settled", I46&lt;=30, "1-30", I46&lt;=90, "31-90", I46&lt;=365, "91-365", I46&gt;365, "1 Year+")</f>
        <v>1 Year+</v>
      </c>
      <c r="K46" t="s">
        <v>819</v>
      </c>
      <c r="L46" s="3" cm="1">
        <f t="array" ref="L46">_xlfn.IFS(F46="AUD",E46*$V$2,F46="CAD",E46*$V$3,F46="EUR",E46*$V$4,F46="GBP",E46*$V$5,F46="USD",E46*$V$6)</f>
        <v>2418.2474999999999</v>
      </c>
      <c r="M46" s="3" cm="1">
        <f t="array" ref="M46">_xlfn.IFS(G46="Paid", L46, G46="Partial", L46*0.5, G46="Open", 0)</f>
        <v>1209.12375</v>
      </c>
      <c r="N46" s="3" cm="1">
        <f t="array" ref="N46">_xlfn.IFS(G46="Open", L46, G46="Partial", L46*0.5, G46="Paid", 0)</f>
        <v>1209.12375</v>
      </c>
    </row>
    <row r="47" spans="1:14" x14ac:dyDescent="0.25">
      <c r="A47" t="s">
        <v>51</v>
      </c>
      <c r="B47" t="s">
        <v>810</v>
      </c>
      <c r="C47" s="5">
        <v>45103</v>
      </c>
      <c r="D47" s="5">
        <v>45133</v>
      </c>
      <c r="E47" s="3">
        <v>1164.49</v>
      </c>
      <c r="F47" t="s">
        <v>814</v>
      </c>
      <c r="G47" t="s">
        <v>817</v>
      </c>
      <c r="H47" s="5" t="s">
        <v>825</v>
      </c>
      <c r="I47" s="7">
        <f t="shared" si="0"/>
        <v>973</v>
      </c>
      <c r="J47" s="13" t="str" cm="1">
        <f t="array" ref="J47">_xlfn.IFS(I47=0, "Settled", I47&lt;=30, "1-30", I47&lt;=90, "31-90", I47&lt;=365, "91-365", I47&gt;365, "1 Year+")</f>
        <v>1 Year+</v>
      </c>
      <c r="K47" t="s">
        <v>819</v>
      </c>
      <c r="L47" s="3" cm="1">
        <f t="array" ref="L47">_xlfn.IFS(F47="AUD",E47*$V$2,F47="CAD",E47*$V$3,F47="EUR",E47*$V$4,F47="GBP",E47*$V$5,F47="USD",E47*$V$6)</f>
        <v>1164.49</v>
      </c>
      <c r="M47" s="3" cm="1">
        <f t="array" ref="M47">_xlfn.IFS(G47="Paid", L47, G47="Partial", L47*0.5, G47="Open", 0)</f>
        <v>582.245</v>
      </c>
      <c r="N47" s="3" cm="1">
        <f t="array" ref="N47">_xlfn.IFS(G47="Open", L47, G47="Partial", L47*0.5, G47="Paid", 0)</f>
        <v>582.245</v>
      </c>
    </row>
    <row r="48" spans="1:14" x14ac:dyDescent="0.25">
      <c r="A48" t="s">
        <v>52</v>
      </c>
      <c r="B48" t="s">
        <v>810</v>
      </c>
      <c r="C48" s="5">
        <v>45668</v>
      </c>
      <c r="D48" s="5">
        <v>45698</v>
      </c>
      <c r="E48" s="3">
        <v>2557.61</v>
      </c>
      <c r="F48" t="s">
        <v>814</v>
      </c>
      <c r="G48" t="s">
        <v>818</v>
      </c>
      <c r="H48" s="5">
        <v>45698</v>
      </c>
      <c r="I48" s="7">
        <f t="shared" si="0"/>
        <v>0</v>
      </c>
      <c r="J48" s="13" t="str" cm="1">
        <f t="array" ref="J48">_xlfn.IFS(I48=0, "Settled", I48&lt;=30, "1-30", I48&lt;=90, "31-90", I48&lt;=365, "91-365", I48&gt;365, "1 Year+")</f>
        <v>Settled</v>
      </c>
      <c r="K48" t="s">
        <v>819</v>
      </c>
      <c r="L48" s="3" cm="1">
        <f t="array" ref="L48">_xlfn.IFS(F48="AUD",E48*$V$2,F48="CAD",E48*$V$3,F48="EUR",E48*$V$4,F48="GBP",E48*$V$5,F48="USD",E48*$V$6)</f>
        <v>2557.61</v>
      </c>
      <c r="M48" s="3" cm="1">
        <f t="array" ref="M48">_xlfn.IFS(G48="Paid", L48, G48="Partial", L48*0.5, G48="Open", 0)</f>
        <v>2557.61</v>
      </c>
      <c r="N48" s="3" cm="1">
        <f t="array" ref="N48">_xlfn.IFS(G48="Open", L48, G48="Partial", L48*0.5, G48="Paid", 0)</f>
        <v>0</v>
      </c>
    </row>
    <row r="49" spans="1:14" x14ac:dyDescent="0.25">
      <c r="A49" t="s">
        <v>53</v>
      </c>
      <c r="B49" t="s">
        <v>806</v>
      </c>
      <c r="C49" s="5">
        <v>45682</v>
      </c>
      <c r="D49" s="5">
        <v>45712</v>
      </c>
      <c r="E49" s="3">
        <v>393.4</v>
      </c>
      <c r="F49" t="s">
        <v>813</v>
      </c>
      <c r="G49" t="s">
        <v>816</v>
      </c>
      <c r="H49" s="5" t="s">
        <v>825</v>
      </c>
      <c r="I49" s="7">
        <f t="shared" si="0"/>
        <v>394</v>
      </c>
      <c r="J49" s="13" t="str" cm="1">
        <f t="array" ref="J49">_xlfn.IFS(I49=0, "Settled", I49&lt;=30, "1-30", I49&lt;=90, "31-90", I49&lt;=365, "91-365", I49&gt;365, "1 Year+")</f>
        <v>1 Year+</v>
      </c>
      <c r="K49" t="s">
        <v>819</v>
      </c>
      <c r="L49" s="3" cm="1">
        <f t="array" ref="L49">_xlfn.IFS(F49="AUD",E49*$V$2,F49="CAD",E49*$V$3,F49="EUR",E49*$V$4,F49="GBP",E49*$V$5,F49="USD",E49*$V$6)</f>
        <v>295.04999999999995</v>
      </c>
      <c r="M49" s="3" cm="1">
        <f t="array" ref="M49">_xlfn.IFS(G49="Paid", L49, G49="Partial", L49*0.5, G49="Open", 0)</f>
        <v>0</v>
      </c>
      <c r="N49" s="3" cm="1">
        <f t="array" ref="N49">_xlfn.IFS(G49="Open", L49, G49="Partial", L49*0.5, G49="Paid", 0)</f>
        <v>295.04999999999995</v>
      </c>
    </row>
    <row r="50" spans="1:14" x14ac:dyDescent="0.25">
      <c r="A50" t="s">
        <v>54</v>
      </c>
      <c r="B50" t="s">
        <v>809</v>
      </c>
      <c r="C50" s="5">
        <v>45733</v>
      </c>
      <c r="D50" s="5">
        <v>45763</v>
      </c>
      <c r="E50" s="3">
        <v>2307.0500000000002</v>
      </c>
      <c r="F50" t="s">
        <v>812</v>
      </c>
      <c r="G50" t="s">
        <v>818</v>
      </c>
      <c r="H50" s="5">
        <v>45763</v>
      </c>
      <c r="I50" s="7">
        <f t="shared" si="0"/>
        <v>0</v>
      </c>
      <c r="J50" s="13" t="str" cm="1">
        <f t="array" ref="J50">_xlfn.IFS(I50=0, "Settled", I50&lt;=30, "1-30", I50&lt;=90, "31-90", I50&lt;=365, "91-365", I50&gt;365, "1 Year+")</f>
        <v>Settled</v>
      </c>
      <c r="K50" t="s">
        <v>819</v>
      </c>
      <c r="L50" s="3" cm="1">
        <f t="array" ref="L50">_xlfn.IFS(F50="AUD",E50*$V$2,F50="CAD",E50*$V$3,F50="EUR",E50*$V$4,F50="GBP",E50*$V$5,F50="USD",E50*$V$6)</f>
        <v>3183.7289999999998</v>
      </c>
      <c r="M50" s="3" cm="1">
        <f t="array" ref="M50">_xlfn.IFS(G50="Paid", L50, G50="Partial", L50*0.5, G50="Open", 0)</f>
        <v>3183.7289999999998</v>
      </c>
      <c r="N50" s="3" cm="1">
        <f t="array" ref="N50">_xlfn.IFS(G50="Open", L50, G50="Partial", L50*0.5, G50="Paid", 0)</f>
        <v>0</v>
      </c>
    </row>
    <row r="51" spans="1:14" x14ac:dyDescent="0.25">
      <c r="A51" t="s">
        <v>55</v>
      </c>
      <c r="B51" t="s">
        <v>806</v>
      </c>
      <c r="C51" s="5">
        <v>45197</v>
      </c>
      <c r="D51" s="5">
        <v>45227</v>
      </c>
      <c r="E51" s="3">
        <v>728.35</v>
      </c>
      <c r="F51" t="s">
        <v>813</v>
      </c>
      <c r="G51" t="s">
        <v>818</v>
      </c>
      <c r="H51" s="5">
        <v>45227</v>
      </c>
      <c r="I51" s="7">
        <f t="shared" si="0"/>
        <v>0</v>
      </c>
      <c r="J51" s="13" t="str" cm="1">
        <f t="array" ref="J51">_xlfn.IFS(I51=0, "Settled", I51&lt;=30, "1-30", I51&lt;=90, "31-90", I51&lt;=365, "91-365", I51&gt;365, "1 Year+")</f>
        <v>Settled</v>
      </c>
      <c r="K51" t="s">
        <v>819</v>
      </c>
      <c r="L51" s="3" cm="1">
        <f t="array" ref="L51">_xlfn.IFS(F51="AUD",E51*$V$2,F51="CAD",E51*$V$3,F51="EUR",E51*$V$4,F51="GBP",E51*$V$5,F51="USD",E51*$V$6)</f>
        <v>546.26250000000005</v>
      </c>
      <c r="M51" s="3" cm="1">
        <f t="array" ref="M51">_xlfn.IFS(G51="Paid", L51, G51="Partial", L51*0.5, G51="Open", 0)</f>
        <v>546.26250000000005</v>
      </c>
      <c r="N51" s="3" cm="1">
        <f t="array" ref="N51">_xlfn.IFS(G51="Open", L51, G51="Partial", L51*0.5, G51="Paid", 0)</f>
        <v>0</v>
      </c>
    </row>
    <row r="52" spans="1:14" x14ac:dyDescent="0.25">
      <c r="A52" t="s">
        <v>56</v>
      </c>
      <c r="B52" t="s">
        <v>807</v>
      </c>
      <c r="C52" s="5">
        <v>45801</v>
      </c>
      <c r="D52" s="5">
        <v>45831</v>
      </c>
      <c r="E52" s="3">
        <v>3580.44</v>
      </c>
      <c r="F52" t="s">
        <v>813</v>
      </c>
      <c r="G52" t="s">
        <v>816</v>
      </c>
      <c r="H52" s="5" t="s">
        <v>825</v>
      </c>
      <c r="I52" s="7">
        <f t="shared" si="0"/>
        <v>275</v>
      </c>
      <c r="J52" s="13" t="str" cm="1">
        <f t="array" ref="J52">_xlfn.IFS(I52=0, "Settled", I52&lt;=30, "1-30", I52&lt;=90, "31-90", I52&lt;=365, "91-365", I52&gt;365, "1 Year+")</f>
        <v>91-365</v>
      </c>
      <c r="K52" t="s">
        <v>819</v>
      </c>
      <c r="L52" s="3" cm="1">
        <f t="array" ref="L52">_xlfn.IFS(F52="AUD",E52*$V$2,F52="CAD",E52*$V$3,F52="EUR",E52*$V$4,F52="GBP",E52*$V$5,F52="USD",E52*$V$6)</f>
        <v>2685.33</v>
      </c>
      <c r="M52" s="3" cm="1">
        <f t="array" ref="M52">_xlfn.IFS(G52="Paid", L52, G52="Partial", L52*0.5, G52="Open", 0)</f>
        <v>0</v>
      </c>
      <c r="N52" s="3" cm="1">
        <f t="array" ref="N52">_xlfn.IFS(G52="Open", L52, G52="Partial", L52*0.5, G52="Paid", 0)</f>
        <v>2685.33</v>
      </c>
    </row>
    <row r="53" spans="1:14" x14ac:dyDescent="0.25">
      <c r="A53" t="s">
        <v>57</v>
      </c>
      <c r="B53" t="s">
        <v>806</v>
      </c>
      <c r="C53" s="5">
        <v>45382</v>
      </c>
      <c r="D53" s="5">
        <v>45412</v>
      </c>
      <c r="E53" s="3">
        <v>1527.67</v>
      </c>
      <c r="F53" t="s">
        <v>815</v>
      </c>
      <c r="G53" t="s">
        <v>818</v>
      </c>
      <c r="H53" s="5">
        <v>45412</v>
      </c>
      <c r="I53" s="7">
        <f t="shared" si="0"/>
        <v>0</v>
      </c>
      <c r="J53" s="13" t="str" cm="1">
        <f t="array" ref="J53">_xlfn.IFS(I53=0, "Settled", I53&lt;=30, "1-30", I53&lt;=90, "31-90", I53&lt;=365, "91-365", I53&gt;365, "1 Year+")</f>
        <v>Settled</v>
      </c>
      <c r="K53" t="s">
        <v>819</v>
      </c>
      <c r="L53" s="3" cm="1">
        <f t="array" ref="L53">_xlfn.IFS(F53="AUD",E53*$V$2,F53="CAD",E53*$V$3,F53="EUR",E53*$V$4,F53="GBP",E53*$V$5,F53="USD",E53*$V$6)</f>
        <v>2215.1215000000002</v>
      </c>
      <c r="M53" s="3" cm="1">
        <f t="array" ref="M53">_xlfn.IFS(G53="Paid", L53, G53="Partial", L53*0.5, G53="Open", 0)</f>
        <v>2215.1215000000002</v>
      </c>
      <c r="N53" s="3" cm="1">
        <f t="array" ref="N53">_xlfn.IFS(G53="Open", L53, G53="Partial", L53*0.5, G53="Paid", 0)</f>
        <v>0</v>
      </c>
    </row>
    <row r="54" spans="1:14" x14ac:dyDescent="0.25">
      <c r="A54" t="s">
        <v>58</v>
      </c>
      <c r="B54" t="s">
        <v>806</v>
      </c>
      <c r="C54" s="5">
        <v>45039</v>
      </c>
      <c r="D54" s="5">
        <v>45069</v>
      </c>
      <c r="E54" s="3">
        <v>3014.35</v>
      </c>
      <c r="F54" t="s">
        <v>812</v>
      </c>
      <c r="G54" t="s">
        <v>818</v>
      </c>
      <c r="H54" s="5">
        <v>45069</v>
      </c>
      <c r="I54" s="7">
        <f t="shared" si="0"/>
        <v>0</v>
      </c>
      <c r="J54" s="13" t="str" cm="1">
        <f t="array" ref="J54">_xlfn.IFS(I54=0, "Settled", I54&lt;=30, "1-30", I54&lt;=90, "31-90", I54&lt;=365, "91-365", I54&gt;365, "1 Year+")</f>
        <v>Settled</v>
      </c>
      <c r="K54" t="s">
        <v>819</v>
      </c>
      <c r="L54" s="3" cm="1">
        <f t="array" ref="L54">_xlfn.IFS(F54="AUD",E54*$V$2,F54="CAD",E54*$V$3,F54="EUR",E54*$V$4,F54="GBP",E54*$V$5,F54="USD",E54*$V$6)</f>
        <v>4159.8029999999999</v>
      </c>
      <c r="M54" s="3" cm="1">
        <f t="array" ref="M54">_xlfn.IFS(G54="Paid", L54, G54="Partial", L54*0.5, G54="Open", 0)</f>
        <v>4159.8029999999999</v>
      </c>
      <c r="N54" s="3" cm="1">
        <f t="array" ref="N54">_xlfn.IFS(G54="Open", L54, G54="Partial", L54*0.5, G54="Paid", 0)</f>
        <v>0</v>
      </c>
    </row>
    <row r="55" spans="1:14" x14ac:dyDescent="0.25">
      <c r="A55" t="s">
        <v>59</v>
      </c>
      <c r="B55" t="s">
        <v>808</v>
      </c>
      <c r="C55" s="5">
        <v>45162</v>
      </c>
      <c r="D55" s="5">
        <v>45192</v>
      </c>
      <c r="E55" s="3">
        <v>3099.88</v>
      </c>
      <c r="F55" t="s">
        <v>812</v>
      </c>
      <c r="G55" t="s">
        <v>817</v>
      </c>
      <c r="H55" s="5" t="s">
        <v>825</v>
      </c>
      <c r="I55" s="7">
        <f t="shared" si="0"/>
        <v>914</v>
      </c>
      <c r="J55" s="13" t="str" cm="1">
        <f t="array" ref="J55">_xlfn.IFS(I55=0, "Settled", I55&lt;=30, "1-30", I55&lt;=90, "31-90", I55&lt;=365, "91-365", I55&gt;365, "1 Year+")</f>
        <v>1 Year+</v>
      </c>
      <c r="K55" t="s">
        <v>819</v>
      </c>
      <c r="L55" s="3" cm="1">
        <f t="array" ref="L55">_xlfn.IFS(F55="AUD",E55*$V$2,F55="CAD",E55*$V$3,F55="EUR",E55*$V$4,F55="GBP",E55*$V$5,F55="USD",E55*$V$6)</f>
        <v>4277.8343999999997</v>
      </c>
      <c r="M55" s="3" cm="1">
        <f t="array" ref="M55">_xlfn.IFS(G55="Paid", L55, G55="Partial", L55*0.5, G55="Open", 0)</f>
        <v>2138.9171999999999</v>
      </c>
      <c r="N55" s="3" cm="1">
        <f t="array" ref="N55">_xlfn.IFS(G55="Open", L55, G55="Partial", L55*0.5, G55="Paid", 0)</f>
        <v>2138.9171999999999</v>
      </c>
    </row>
    <row r="56" spans="1:14" x14ac:dyDescent="0.25">
      <c r="A56" t="s">
        <v>60</v>
      </c>
      <c r="B56" t="s">
        <v>806</v>
      </c>
      <c r="C56" s="5">
        <v>45055</v>
      </c>
      <c r="D56" s="5">
        <v>45085</v>
      </c>
      <c r="E56" s="3">
        <v>1484.54</v>
      </c>
      <c r="F56" t="s">
        <v>815</v>
      </c>
      <c r="G56" t="s">
        <v>817</v>
      </c>
      <c r="H56" s="5" t="s">
        <v>825</v>
      </c>
      <c r="I56" s="7">
        <f t="shared" si="0"/>
        <v>1021</v>
      </c>
      <c r="J56" s="13" t="str" cm="1">
        <f t="array" ref="J56">_xlfn.IFS(I56=0, "Settled", I56&lt;=30, "1-30", I56&lt;=90, "31-90", I56&lt;=365, "91-365", I56&gt;365, "1 Year+")</f>
        <v>1 Year+</v>
      </c>
      <c r="K56" t="s">
        <v>819</v>
      </c>
      <c r="L56" s="3" cm="1">
        <f t="array" ref="L56">_xlfn.IFS(F56="AUD",E56*$V$2,F56="CAD",E56*$V$3,F56="EUR",E56*$V$4,F56="GBP",E56*$V$5,F56="USD",E56*$V$6)</f>
        <v>2152.5830000000001</v>
      </c>
      <c r="M56" s="3" cm="1">
        <f t="array" ref="M56">_xlfn.IFS(G56="Paid", L56, G56="Partial", L56*0.5, G56="Open", 0)</f>
        <v>1076.2915</v>
      </c>
      <c r="N56" s="3" cm="1">
        <f t="array" ref="N56">_xlfn.IFS(G56="Open", L56, G56="Partial", L56*0.5, G56="Paid", 0)</f>
        <v>1076.2915</v>
      </c>
    </row>
    <row r="57" spans="1:14" x14ac:dyDescent="0.25">
      <c r="A57" t="s">
        <v>61</v>
      </c>
      <c r="B57" t="s">
        <v>810</v>
      </c>
      <c r="C57" s="5">
        <v>45279</v>
      </c>
      <c r="D57" s="5">
        <v>45309</v>
      </c>
      <c r="E57" s="3">
        <v>2922.4</v>
      </c>
      <c r="F57" t="s">
        <v>815</v>
      </c>
      <c r="G57" t="s">
        <v>817</v>
      </c>
      <c r="H57" s="5" t="s">
        <v>825</v>
      </c>
      <c r="I57" s="7">
        <f t="shared" si="0"/>
        <v>797</v>
      </c>
      <c r="J57" s="13" t="str" cm="1">
        <f t="array" ref="J57">_xlfn.IFS(I57=0, "Settled", I57&lt;=30, "1-30", I57&lt;=90, "31-90", I57&lt;=365, "91-365", I57&gt;365, "1 Year+")</f>
        <v>1 Year+</v>
      </c>
      <c r="K57" t="s">
        <v>819</v>
      </c>
      <c r="L57" s="3" cm="1">
        <f t="array" ref="L57">_xlfn.IFS(F57="AUD",E57*$V$2,F57="CAD",E57*$V$3,F57="EUR",E57*$V$4,F57="GBP",E57*$V$5,F57="USD",E57*$V$6)</f>
        <v>4237.4799999999996</v>
      </c>
      <c r="M57" s="3" cm="1">
        <f t="array" ref="M57">_xlfn.IFS(G57="Paid", L57, G57="Partial", L57*0.5, G57="Open", 0)</f>
        <v>2118.7399999999998</v>
      </c>
      <c r="N57" s="3" cm="1">
        <f t="array" ref="N57">_xlfn.IFS(G57="Open", L57, G57="Partial", L57*0.5, G57="Paid", 0)</f>
        <v>2118.7399999999998</v>
      </c>
    </row>
    <row r="58" spans="1:14" x14ac:dyDescent="0.25">
      <c r="A58" t="s">
        <v>62</v>
      </c>
      <c r="B58" t="s">
        <v>809</v>
      </c>
      <c r="C58" s="5">
        <v>45238</v>
      </c>
      <c r="D58" s="5">
        <v>45268</v>
      </c>
      <c r="E58" s="3">
        <v>422.98</v>
      </c>
      <c r="F58" t="s">
        <v>814</v>
      </c>
      <c r="G58" t="s">
        <v>818</v>
      </c>
      <c r="H58" s="5">
        <v>45268</v>
      </c>
      <c r="I58" s="7">
        <f t="shared" si="0"/>
        <v>0</v>
      </c>
      <c r="J58" s="13" t="str" cm="1">
        <f t="array" ref="J58">_xlfn.IFS(I58=0, "Settled", I58&lt;=30, "1-30", I58&lt;=90, "31-90", I58&lt;=365, "91-365", I58&gt;365, "1 Year+")</f>
        <v>Settled</v>
      </c>
      <c r="K58" t="s">
        <v>819</v>
      </c>
      <c r="L58" s="3" cm="1">
        <f t="array" ref="L58">_xlfn.IFS(F58="AUD",E58*$V$2,F58="CAD",E58*$V$3,F58="EUR",E58*$V$4,F58="GBP",E58*$V$5,F58="USD",E58*$V$6)</f>
        <v>422.98</v>
      </c>
      <c r="M58" s="3" cm="1">
        <f t="array" ref="M58">_xlfn.IFS(G58="Paid", L58, G58="Partial", L58*0.5, G58="Open", 0)</f>
        <v>422.98</v>
      </c>
      <c r="N58" s="3" cm="1">
        <f t="array" ref="N58">_xlfn.IFS(G58="Open", L58, G58="Partial", L58*0.5, G58="Paid", 0)</f>
        <v>0</v>
      </c>
    </row>
    <row r="59" spans="1:14" x14ac:dyDescent="0.25">
      <c r="A59" t="s">
        <v>63</v>
      </c>
      <c r="B59" t="s">
        <v>806</v>
      </c>
      <c r="C59" s="5">
        <v>44929</v>
      </c>
      <c r="D59" s="5">
        <v>44959</v>
      </c>
      <c r="E59" s="3">
        <v>2784.23</v>
      </c>
      <c r="F59" t="s">
        <v>814</v>
      </c>
      <c r="G59" t="s">
        <v>817</v>
      </c>
      <c r="H59" s="5" t="s">
        <v>825</v>
      </c>
      <c r="I59" s="7">
        <f t="shared" si="0"/>
        <v>1147</v>
      </c>
      <c r="J59" s="13" t="str" cm="1">
        <f t="array" ref="J59">_xlfn.IFS(I59=0, "Settled", I59&lt;=30, "1-30", I59&lt;=90, "31-90", I59&lt;=365, "91-365", I59&gt;365, "1 Year+")</f>
        <v>1 Year+</v>
      </c>
      <c r="K59" t="s">
        <v>819</v>
      </c>
      <c r="L59" s="3" cm="1">
        <f t="array" ref="L59">_xlfn.IFS(F59="AUD",E59*$V$2,F59="CAD",E59*$V$3,F59="EUR",E59*$V$4,F59="GBP",E59*$V$5,F59="USD",E59*$V$6)</f>
        <v>2784.23</v>
      </c>
      <c r="M59" s="3" cm="1">
        <f t="array" ref="M59">_xlfn.IFS(G59="Paid", L59, G59="Partial", L59*0.5, G59="Open", 0)</f>
        <v>1392.115</v>
      </c>
      <c r="N59" s="3" cm="1">
        <f t="array" ref="N59">_xlfn.IFS(G59="Open", L59, G59="Partial", L59*0.5, G59="Paid", 0)</f>
        <v>1392.115</v>
      </c>
    </row>
    <row r="60" spans="1:14" x14ac:dyDescent="0.25">
      <c r="A60" t="s">
        <v>64</v>
      </c>
      <c r="B60" t="s">
        <v>810</v>
      </c>
      <c r="C60" s="5">
        <v>45462</v>
      </c>
      <c r="D60" s="5">
        <v>45492</v>
      </c>
      <c r="E60" s="3">
        <v>2946.12</v>
      </c>
      <c r="F60" t="s">
        <v>812</v>
      </c>
      <c r="G60" t="s">
        <v>816</v>
      </c>
      <c r="H60" s="5" t="s">
        <v>825</v>
      </c>
      <c r="I60" s="7">
        <f t="shared" si="0"/>
        <v>614</v>
      </c>
      <c r="J60" s="13" t="str" cm="1">
        <f t="array" ref="J60">_xlfn.IFS(I60=0, "Settled", I60&lt;=30, "1-30", I60&lt;=90, "31-90", I60&lt;=365, "91-365", I60&gt;365, "1 Year+")</f>
        <v>1 Year+</v>
      </c>
      <c r="K60" t="s">
        <v>819</v>
      </c>
      <c r="L60" s="3" cm="1">
        <f t="array" ref="L60">_xlfn.IFS(F60="AUD",E60*$V$2,F60="CAD",E60*$V$3,F60="EUR",E60*$V$4,F60="GBP",E60*$V$5,F60="USD",E60*$V$6)</f>
        <v>4065.6455999999994</v>
      </c>
      <c r="M60" s="3" cm="1">
        <f t="array" ref="M60">_xlfn.IFS(G60="Paid", L60, G60="Partial", L60*0.5, G60="Open", 0)</f>
        <v>0</v>
      </c>
      <c r="N60" s="3" cm="1">
        <f t="array" ref="N60">_xlfn.IFS(G60="Open", L60, G60="Partial", L60*0.5, G60="Paid", 0)</f>
        <v>4065.6455999999994</v>
      </c>
    </row>
    <row r="61" spans="1:14" x14ac:dyDescent="0.25">
      <c r="A61" t="s">
        <v>65</v>
      </c>
      <c r="B61" t="s">
        <v>806</v>
      </c>
      <c r="C61" s="5">
        <v>45725</v>
      </c>
      <c r="D61" s="5">
        <v>45755</v>
      </c>
      <c r="E61" s="3">
        <v>578.58000000000004</v>
      </c>
      <c r="F61" t="s">
        <v>813</v>
      </c>
      <c r="G61" t="s">
        <v>817</v>
      </c>
      <c r="H61" s="5" t="s">
        <v>825</v>
      </c>
      <c r="I61" s="7">
        <f t="shared" si="0"/>
        <v>351</v>
      </c>
      <c r="J61" s="13" t="str" cm="1">
        <f t="array" ref="J61">_xlfn.IFS(I61=0, "Settled", I61&lt;=30, "1-30", I61&lt;=90, "31-90", I61&lt;=365, "91-365", I61&gt;365, "1 Year+")</f>
        <v>91-365</v>
      </c>
      <c r="K61" t="s">
        <v>819</v>
      </c>
      <c r="L61" s="3" cm="1">
        <f t="array" ref="L61">_xlfn.IFS(F61="AUD",E61*$V$2,F61="CAD",E61*$V$3,F61="EUR",E61*$V$4,F61="GBP",E61*$V$5,F61="USD",E61*$V$6)</f>
        <v>433.93500000000006</v>
      </c>
      <c r="M61" s="3" cm="1">
        <f t="array" ref="M61">_xlfn.IFS(G61="Paid", L61, G61="Partial", L61*0.5, G61="Open", 0)</f>
        <v>216.96750000000003</v>
      </c>
      <c r="N61" s="3" cm="1">
        <f t="array" ref="N61">_xlfn.IFS(G61="Open", L61, G61="Partial", L61*0.5, G61="Paid", 0)</f>
        <v>216.96750000000003</v>
      </c>
    </row>
    <row r="62" spans="1:14" x14ac:dyDescent="0.25">
      <c r="A62" t="s">
        <v>66</v>
      </c>
      <c r="B62" t="s">
        <v>806</v>
      </c>
      <c r="C62" s="5">
        <v>45440</v>
      </c>
      <c r="D62" s="5">
        <v>45470</v>
      </c>
      <c r="E62" s="3">
        <v>3849.56</v>
      </c>
      <c r="F62" t="s">
        <v>813</v>
      </c>
      <c r="G62" t="s">
        <v>818</v>
      </c>
      <c r="H62" s="5">
        <v>45470</v>
      </c>
      <c r="I62" s="7">
        <f t="shared" si="0"/>
        <v>0</v>
      </c>
      <c r="J62" s="13" t="str" cm="1">
        <f t="array" ref="J62">_xlfn.IFS(I62=0, "Settled", I62&lt;=30, "1-30", I62&lt;=90, "31-90", I62&lt;=365, "91-365", I62&gt;365, "1 Year+")</f>
        <v>Settled</v>
      </c>
      <c r="K62" t="s">
        <v>819</v>
      </c>
      <c r="L62" s="3" cm="1">
        <f t="array" ref="L62">_xlfn.IFS(F62="AUD",E62*$V$2,F62="CAD",E62*$V$3,F62="EUR",E62*$V$4,F62="GBP",E62*$V$5,F62="USD",E62*$V$6)</f>
        <v>2887.17</v>
      </c>
      <c r="M62" s="3" cm="1">
        <f t="array" ref="M62">_xlfn.IFS(G62="Paid", L62, G62="Partial", L62*0.5, G62="Open", 0)</f>
        <v>2887.17</v>
      </c>
      <c r="N62" s="3" cm="1">
        <f t="array" ref="N62">_xlfn.IFS(G62="Open", L62, G62="Partial", L62*0.5, G62="Paid", 0)</f>
        <v>0</v>
      </c>
    </row>
    <row r="63" spans="1:14" x14ac:dyDescent="0.25">
      <c r="A63" t="s">
        <v>67</v>
      </c>
      <c r="B63" t="s">
        <v>806</v>
      </c>
      <c r="C63" s="5">
        <v>45408</v>
      </c>
      <c r="D63" s="5">
        <v>45438</v>
      </c>
      <c r="E63" s="3">
        <v>2055.5300000000002</v>
      </c>
      <c r="F63" t="s">
        <v>812</v>
      </c>
      <c r="G63" t="s">
        <v>817</v>
      </c>
      <c r="H63" s="5" t="s">
        <v>825</v>
      </c>
      <c r="I63" s="7">
        <f t="shared" si="0"/>
        <v>668</v>
      </c>
      <c r="J63" s="13" t="str" cm="1">
        <f t="array" ref="J63">_xlfn.IFS(I63=0, "Settled", I63&lt;=30, "1-30", I63&lt;=90, "31-90", I63&lt;=365, "91-365", I63&gt;365, "1 Year+")</f>
        <v>1 Year+</v>
      </c>
      <c r="K63" t="s">
        <v>819</v>
      </c>
      <c r="L63" s="3" cm="1">
        <f t="array" ref="L63">_xlfn.IFS(F63="AUD",E63*$V$2,F63="CAD",E63*$V$3,F63="EUR",E63*$V$4,F63="GBP",E63*$V$5,F63="USD",E63*$V$6)</f>
        <v>2836.6314000000002</v>
      </c>
      <c r="M63" s="3" cm="1">
        <f t="array" ref="M63">_xlfn.IFS(G63="Paid", L63, G63="Partial", L63*0.5, G63="Open", 0)</f>
        <v>1418.3157000000001</v>
      </c>
      <c r="N63" s="3" cm="1">
        <f t="array" ref="N63">_xlfn.IFS(G63="Open", L63, G63="Partial", L63*0.5, G63="Paid", 0)</f>
        <v>1418.3157000000001</v>
      </c>
    </row>
    <row r="64" spans="1:14" x14ac:dyDescent="0.25">
      <c r="A64" t="s">
        <v>68</v>
      </c>
      <c r="B64" t="s">
        <v>808</v>
      </c>
      <c r="C64" s="5">
        <v>44981</v>
      </c>
      <c r="D64" s="5">
        <v>45011</v>
      </c>
      <c r="E64" s="3">
        <v>2185.3200000000002</v>
      </c>
      <c r="F64" t="s">
        <v>815</v>
      </c>
      <c r="G64" t="s">
        <v>818</v>
      </c>
      <c r="H64" s="5">
        <v>45011</v>
      </c>
      <c r="I64" s="7">
        <f t="shared" si="0"/>
        <v>0</v>
      </c>
      <c r="J64" s="13" t="str" cm="1">
        <f t="array" ref="J64">_xlfn.IFS(I64=0, "Settled", I64&lt;=30, "1-30", I64&lt;=90, "31-90", I64&lt;=365, "91-365", I64&gt;365, "1 Year+")</f>
        <v>Settled</v>
      </c>
      <c r="K64" t="s">
        <v>819</v>
      </c>
      <c r="L64" s="3" cm="1">
        <f t="array" ref="L64">_xlfn.IFS(F64="AUD",E64*$V$2,F64="CAD",E64*$V$3,F64="EUR",E64*$V$4,F64="GBP",E64*$V$5,F64="USD",E64*$V$6)</f>
        <v>3168.7139999999999</v>
      </c>
      <c r="M64" s="3" cm="1">
        <f t="array" ref="M64">_xlfn.IFS(G64="Paid", L64, G64="Partial", L64*0.5, G64="Open", 0)</f>
        <v>3168.7139999999999</v>
      </c>
      <c r="N64" s="3" cm="1">
        <f t="array" ref="N64">_xlfn.IFS(G64="Open", L64, G64="Partial", L64*0.5, G64="Paid", 0)</f>
        <v>0</v>
      </c>
    </row>
    <row r="65" spans="1:14" x14ac:dyDescent="0.25">
      <c r="A65" t="s">
        <v>69</v>
      </c>
      <c r="B65" t="s">
        <v>806</v>
      </c>
      <c r="C65" s="5">
        <v>45703</v>
      </c>
      <c r="D65" s="5">
        <v>45733</v>
      </c>
      <c r="E65" s="3">
        <v>3382.98</v>
      </c>
      <c r="F65" t="s">
        <v>813</v>
      </c>
      <c r="G65" t="s">
        <v>818</v>
      </c>
      <c r="H65" s="5">
        <v>45733</v>
      </c>
      <c r="I65" s="7">
        <f t="shared" si="0"/>
        <v>0</v>
      </c>
      <c r="J65" s="13" t="str" cm="1">
        <f t="array" ref="J65">_xlfn.IFS(I65=0, "Settled", I65&lt;=30, "1-30", I65&lt;=90, "31-90", I65&lt;=365, "91-365", I65&gt;365, "1 Year+")</f>
        <v>Settled</v>
      </c>
      <c r="K65" t="s">
        <v>819</v>
      </c>
      <c r="L65" s="3" cm="1">
        <f t="array" ref="L65">_xlfn.IFS(F65="AUD",E65*$V$2,F65="CAD",E65*$V$3,F65="EUR",E65*$V$4,F65="GBP",E65*$V$5,F65="USD",E65*$V$6)</f>
        <v>2537.2350000000001</v>
      </c>
      <c r="M65" s="3" cm="1">
        <f t="array" ref="M65">_xlfn.IFS(G65="Paid", L65, G65="Partial", L65*0.5, G65="Open", 0)</f>
        <v>2537.2350000000001</v>
      </c>
      <c r="N65" s="3" cm="1">
        <f t="array" ref="N65">_xlfn.IFS(G65="Open", L65, G65="Partial", L65*0.5, G65="Paid", 0)</f>
        <v>0</v>
      </c>
    </row>
    <row r="66" spans="1:14" x14ac:dyDescent="0.25">
      <c r="A66" t="s">
        <v>70</v>
      </c>
      <c r="B66" t="s">
        <v>807</v>
      </c>
      <c r="C66" s="5">
        <v>45404</v>
      </c>
      <c r="D66" s="5">
        <v>45434</v>
      </c>
      <c r="E66" s="3">
        <v>3571.55</v>
      </c>
      <c r="F66" t="s">
        <v>813</v>
      </c>
      <c r="G66" t="s">
        <v>817</v>
      </c>
      <c r="H66" s="5" t="s">
        <v>825</v>
      </c>
      <c r="I66" s="7">
        <f t="shared" si="0"/>
        <v>672</v>
      </c>
      <c r="J66" s="13" t="str" cm="1">
        <f t="array" ref="J66">_xlfn.IFS(I66=0, "Settled", I66&lt;=30, "1-30", I66&lt;=90, "31-90", I66&lt;=365, "91-365", I66&gt;365, "1 Year+")</f>
        <v>1 Year+</v>
      </c>
      <c r="K66" t="s">
        <v>819</v>
      </c>
      <c r="L66" s="3" cm="1">
        <f t="array" ref="L66">_xlfn.IFS(F66="AUD",E66*$V$2,F66="CAD",E66*$V$3,F66="EUR",E66*$V$4,F66="GBP",E66*$V$5,F66="USD",E66*$V$6)</f>
        <v>2678.6625000000004</v>
      </c>
      <c r="M66" s="3" cm="1">
        <f t="array" ref="M66">_xlfn.IFS(G66="Paid", L66, G66="Partial", L66*0.5, G66="Open", 0)</f>
        <v>1339.3312500000002</v>
      </c>
      <c r="N66" s="3" cm="1">
        <f t="array" ref="N66">_xlfn.IFS(G66="Open", L66, G66="Partial", L66*0.5, G66="Paid", 0)</f>
        <v>1339.3312500000002</v>
      </c>
    </row>
    <row r="67" spans="1:14" x14ac:dyDescent="0.25">
      <c r="A67" t="s">
        <v>71</v>
      </c>
      <c r="B67" t="s">
        <v>808</v>
      </c>
      <c r="C67" s="5">
        <v>45762</v>
      </c>
      <c r="D67" s="5">
        <v>45792</v>
      </c>
      <c r="E67" s="3">
        <v>2137.4499999999998</v>
      </c>
      <c r="F67" t="s">
        <v>814</v>
      </c>
      <c r="G67" t="s">
        <v>816</v>
      </c>
      <c r="H67" s="5" t="s">
        <v>825</v>
      </c>
      <c r="I67" s="7">
        <f t="shared" ref="I67:I130" si="1">IF(G67="Paid",0,DATE(2026,3,25)-D67)</f>
        <v>314</v>
      </c>
      <c r="J67" s="13" t="str" cm="1">
        <f t="array" ref="J67">_xlfn.IFS(I67=0, "Settled", I67&lt;=30, "1-30", I67&lt;=90, "31-90", I67&lt;=365, "91-365", I67&gt;365, "1 Year+")</f>
        <v>91-365</v>
      </c>
      <c r="K67" t="s">
        <v>819</v>
      </c>
      <c r="L67" s="3" cm="1">
        <f t="array" ref="L67">_xlfn.IFS(F67="AUD",E67*$V$2,F67="CAD",E67*$V$3,F67="EUR",E67*$V$4,F67="GBP",E67*$V$5,F67="USD",E67*$V$6)</f>
        <v>2137.4499999999998</v>
      </c>
      <c r="M67" s="3" cm="1">
        <f t="array" ref="M67">_xlfn.IFS(G67="Paid", L67, G67="Partial", L67*0.5, G67="Open", 0)</f>
        <v>0</v>
      </c>
      <c r="N67" s="3" cm="1">
        <f t="array" ref="N67">_xlfn.IFS(G67="Open", L67, G67="Partial", L67*0.5, G67="Paid", 0)</f>
        <v>2137.4499999999998</v>
      </c>
    </row>
    <row r="68" spans="1:14" x14ac:dyDescent="0.25">
      <c r="A68" t="s">
        <v>72</v>
      </c>
      <c r="B68" t="s">
        <v>810</v>
      </c>
      <c r="C68" s="5">
        <v>45697</v>
      </c>
      <c r="D68" s="5">
        <v>45727</v>
      </c>
      <c r="E68" s="3">
        <v>3793.28</v>
      </c>
      <c r="F68" t="s">
        <v>814</v>
      </c>
      <c r="G68" t="s">
        <v>818</v>
      </c>
      <c r="H68" s="5">
        <v>45727</v>
      </c>
      <c r="I68" s="7">
        <f t="shared" si="1"/>
        <v>0</v>
      </c>
      <c r="J68" s="13" t="str" cm="1">
        <f t="array" ref="J68">_xlfn.IFS(I68=0, "Settled", I68&lt;=30, "1-30", I68&lt;=90, "31-90", I68&lt;=365, "91-365", I68&gt;365, "1 Year+")</f>
        <v>Settled</v>
      </c>
      <c r="K68" t="s">
        <v>819</v>
      </c>
      <c r="L68" s="3" cm="1">
        <f t="array" ref="L68">_xlfn.IFS(F68="AUD",E68*$V$2,F68="CAD",E68*$V$3,F68="EUR",E68*$V$4,F68="GBP",E68*$V$5,F68="USD",E68*$V$6)</f>
        <v>3793.28</v>
      </c>
      <c r="M68" s="3" cm="1">
        <f t="array" ref="M68">_xlfn.IFS(G68="Paid", L68, G68="Partial", L68*0.5, G68="Open", 0)</f>
        <v>3793.28</v>
      </c>
      <c r="N68" s="3" cm="1">
        <f t="array" ref="N68">_xlfn.IFS(G68="Open", L68, G68="Partial", L68*0.5, G68="Paid", 0)</f>
        <v>0</v>
      </c>
    </row>
    <row r="69" spans="1:14" x14ac:dyDescent="0.25">
      <c r="A69" t="s">
        <v>73</v>
      </c>
      <c r="B69" t="s">
        <v>806</v>
      </c>
      <c r="C69" s="5">
        <v>45660</v>
      </c>
      <c r="D69" s="5">
        <v>45690</v>
      </c>
      <c r="E69" s="3">
        <v>2973.27</v>
      </c>
      <c r="F69" t="s">
        <v>812</v>
      </c>
      <c r="G69" t="s">
        <v>818</v>
      </c>
      <c r="H69" s="5">
        <v>45690</v>
      </c>
      <c r="I69" s="7">
        <f t="shared" si="1"/>
        <v>0</v>
      </c>
      <c r="J69" s="13" t="str" cm="1">
        <f t="array" ref="J69">_xlfn.IFS(I69=0, "Settled", I69&lt;=30, "1-30", I69&lt;=90, "31-90", I69&lt;=365, "91-365", I69&gt;365, "1 Year+")</f>
        <v>Settled</v>
      </c>
      <c r="K69" t="s">
        <v>819</v>
      </c>
      <c r="L69" s="3" cm="1">
        <f t="array" ref="L69">_xlfn.IFS(F69="AUD",E69*$V$2,F69="CAD",E69*$V$3,F69="EUR",E69*$V$4,F69="GBP",E69*$V$5,F69="USD",E69*$V$6)</f>
        <v>4103.1125999999995</v>
      </c>
      <c r="M69" s="3" cm="1">
        <f t="array" ref="M69">_xlfn.IFS(G69="Paid", L69, G69="Partial", L69*0.5, G69="Open", 0)</f>
        <v>4103.1125999999995</v>
      </c>
      <c r="N69" s="3" cm="1">
        <f t="array" ref="N69">_xlfn.IFS(G69="Open", L69, G69="Partial", L69*0.5, G69="Paid", 0)</f>
        <v>0</v>
      </c>
    </row>
    <row r="70" spans="1:14" x14ac:dyDescent="0.25">
      <c r="A70" t="s">
        <v>74</v>
      </c>
      <c r="B70" t="s">
        <v>806</v>
      </c>
      <c r="C70" s="5">
        <v>45497</v>
      </c>
      <c r="D70" s="5">
        <v>45527</v>
      </c>
      <c r="E70" s="3">
        <v>4968.32</v>
      </c>
      <c r="F70" t="s">
        <v>814</v>
      </c>
      <c r="G70" t="s">
        <v>816</v>
      </c>
      <c r="H70" s="5" t="s">
        <v>825</v>
      </c>
      <c r="I70" s="7">
        <f t="shared" si="1"/>
        <v>579</v>
      </c>
      <c r="J70" s="13" t="str" cm="1">
        <f t="array" ref="J70">_xlfn.IFS(I70=0, "Settled", I70&lt;=30, "1-30", I70&lt;=90, "31-90", I70&lt;=365, "91-365", I70&gt;365, "1 Year+")</f>
        <v>1 Year+</v>
      </c>
      <c r="K70" t="s">
        <v>819</v>
      </c>
      <c r="L70" s="3" cm="1">
        <f t="array" ref="L70">_xlfn.IFS(F70="AUD",E70*$V$2,F70="CAD",E70*$V$3,F70="EUR",E70*$V$4,F70="GBP",E70*$V$5,F70="USD",E70*$V$6)</f>
        <v>4968.32</v>
      </c>
      <c r="M70" s="3" cm="1">
        <f t="array" ref="M70">_xlfn.IFS(G70="Paid", L70, G70="Partial", L70*0.5, G70="Open", 0)</f>
        <v>0</v>
      </c>
      <c r="N70" s="3" cm="1">
        <f t="array" ref="N70">_xlfn.IFS(G70="Open", L70, G70="Partial", L70*0.5, G70="Paid", 0)</f>
        <v>4968.32</v>
      </c>
    </row>
    <row r="71" spans="1:14" x14ac:dyDescent="0.25">
      <c r="A71" t="s">
        <v>75</v>
      </c>
      <c r="B71" t="s">
        <v>806</v>
      </c>
      <c r="C71" s="5">
        <v>44958</v>
      </c>
      <c r="D71" s="5">
        <v>44988</v>
      </c>
      <c r="E71" s="3">
        <v>4336.91</v>
      </c>
      <c r="F71" t="s">
        <v>814</v>
      </c>
      <c r="G71" t="s">
        <v>816</v>
      </c>
      <c r="H71" s="5" t="s">
        <v>825</v>
      </c>
      <c r="I71" s="7">
        <f t="shared" si="1"/>
        <v>1118</v>
      </c>
      <c r="J71" s="13" t="str" cm="1">
        <f t="array" ref="J71">_xlfn.IFS(I71=0, "Settled", I71&lt;=30, "1-30", I71&lt;=90, "31-90", I71&lt;=365, "91-365", I71&gt;365, "1 Year+")</f>
        <v>1 Year+</v>
      </c>
      <c r="K71" t="s">
        <v>819</v>
      </c>
      <c r="L71" s="3" cm="1">
        <f t="array" ref="L71">_xlfn.IFS(F71="AUD",E71*$V$2,F71="CAD",E71*$V$3,F71="EUR",E71*$V$4,F71="GBP",E71*$V$5,F71="USD",E71*$V$6)</f>
        <v>4336.91</v>
      </c>
      <c r="M71" s="3" cm="1">
        <f t="array" ref="M71">_xlfn.IFS(G71="Paid", L71, G71="Partial", L71*0.5, G71="Open", 0)</f>
        <v>0</v>
      </c>
      <c r="N71" s="3" cm="1">
        <f t="array" ref="N71">_xlfn.IFS(G71="Open", L71, G71="Partial", L71*0.5, G71="Paid", 0)</f>
        <v>4336.91</v>
      </c>
    </row>
    <row r="72" spans="1:14" x14ac:dyDescent="0.25">
      <c r="A72" t="s">
        <v>76</v>
      </c>
      <c r="B72" t="s">
        <v>810</v>
      </c>
      <c r="C72" s="5">
        <v>45629</v>
      </c>
      <c r="D72" s="5">
        <v>45659</v>
      </c>
      <c r="E72" s="3">
        <v>2479.9499999999998</v>
      </c>
      <c r="F72" t="s">
        <v>814</v>
      </c>
      <c r="G72" t="s">
        <v>818</v>
      </c>
      <c r="H72" s="5">
        <v>45659</v>
      </c>
      <c r="I72" s="7">
        <f t="shared" si="1"/>
        <v>0</v>
      </c>
      <c r="J72" s="13" t="str" cm="1">
        <f t="array" ref="J72">_xlfn.IFS(I72=0, "Settled", I72&lt;=30, "1-30", I72&lt;=90, "31-90", I72&lt;=365, "91-365", I72&gt;365, "1 Year+")</f>
        <v>Settled</v>
      </c>
      <c r="K72" t="s">
        <v>819</v>
      </c>
      <c r="L72" s="3" cm="1">
        <f t="array" ref="L72">_xlfn.IFS(F72="AUD",E72*$V$2,F72="CAD",E72*$V$3,F72="EUR",E72*$V$4,F72="GBP",E72*$V$5,F72="USD",E72*$V$6)</f>
        <v>2479.9499999999998</v>
      </c>
      <c r="M72" s="3" cm="1">
        <f t="array" ref="M72">_xlfn.IFS(G72="Paid", L72, G72="Partial", L72*0.5, G72="Open", 0)</f>
        <v>2479.9499999999998</v>
      </c>
      <c r="N72" s="3" cm="1">
        <f t="array" ref="N72">_xlfn.IFS(G72="Open", L72, G72="Partial", L72*0.5, G72="Paid", 0)</f>
        <v>0</v>
      </c>
    </row>
    <row r="73" spans="1:14" x14ac:dyDescent="0.25">
      <c r="A73" t="s">
        <v>77</v>
      </c>
      <c r="B73" t="s">
        <v>810</v>
      </c>
      <c r="C73" s="5">
        <v>45821</v>
      </c>
      <c r="D73" s="5">
        <v>45851</v>
      </c>
      <c r="E73" s="3">
        <v>2498.69</v>
      </c>
      <c r="F73" t="s">
        <v>814</v>
      </c>
      <c r="G73" t="s">
        <v>816</v>
      </c>
      <c r="H73" s="5" t="s">
        <v>825</v>
      </c>
      <c r="I73" s="7">
        <f t="shared" si="1"/>
        <v>255</v>
      </c>
      <c r="J73" s="13" t="str" cm="1">
        <f t="array" ref="J73">_xlfn.IFS(I73=0, "Settled", I73&lt;=30, "1-30", I73&lt;=90, "31-90", I73&lt;=365, "91-365", I73&gt;365, "1 Year+")</f>
        <v>91-365</v>
      </c>
      <c r="K73" t="s">
        <v>819</v>
      </c>
      <c r="L73" s="3" cm="1">
        <f t="array" ref="L73">_xlfn.IFS(F73="AUD",E73*$V$2,F73="CAD",E73*$V$3,F73="EUR",E73*$V$4,F73="GBP",E73*$V$5,F73="USD",E73*$V$6)</f>
        <v>2498.69</v>
      </c>
      <c r="M73" s="3" cm="1">
        <f t="array" ref="M73">_xlfn.IFS(G73="Paid", L73, G73="Partial", L73*0.5, G73="Open", 0)</f>
        <v>0</v>
      </c>
      <c r="N73" s="3" cm="1">
        <f t="array" ref="N73">_xlfn.IFS(G73="Open", L73, G73="Partial", L73*0.5, G73="Paid", 0)</f>
        <v>2498.69</v>
      </c>
    </row>
    <row r="74" spans="1:14" x14ac:dyDescent="0.25">
      <c r="A74" t="s">
        <v>78</v>
      </c>
      <c r="B74" t="s">
        <v>807</v>
      </c>
      <c r="C74" s="5">
        <v>45597</v>
      </c>
      <c r="D74" s="5">
        <v>45627</v>
      </c>
      <c r="E74" s="3">
        <v>2106.66</v>
      </c>
      <c r="F74" t="s">
        <v>812</v>
      </c>
      <c r="G74" t="s">
        <v>818</v>
      </c>
      <c r="H74" s="5">
        <v>45627</v>
      </c>
      <c r="I74" s="7">
        <f t="shared" si="1"/>
        <v>0</v>
      </c>
      <c r="J74" s="13" t="str" cm="1">
        <f t="array" ref="J74">_xlfn.IFS(I74=0, "Settled", I74&lt;=30, "1-30", I74&lt;=90, "31-90", I74&lt;=365, "91-365", I74&gt;365, "1 Year+")</f>
        <v>Settled</v>
      </c>
      <c r="K74" t="s">
        <v>819</v>
      </c>
      <c r="L74" s="3" cm="1">
        <f t="array" ref="L74">_xlfn.IFS(F74="AUD",E74*$V$2,F74="CAD",E74*$V$3,F74="EUR",E74*$V$4,F74="GBP",E74*$V$5,F74="USD",E74*$V$6)</f>
        <v>2907.1907999999994</v>
      </c>
      <c r="M74" s="3" cm="1">
        <f t="array" ref="M74">_xlfn.IFS(G74="Paid", L74, G74="Partial", L74*0.5, G74="Open", 0)</f>
        <v>2907.1907999999994</v>
      </c>
      <c r="N74" s="3" cm="1">
        <f t="array" ref="N74">_xlfn.IFS(G74="Open", L74, G74="Partial", L74*0.5, G74="Paid", 0)</f>
        <v>0</v>
      </c>
    </row>
    <row r="75" spans="1:14" x14ac:dyDescent="0.25">
      <c r="A75" t="s">
        <v>79</v>
      </c>
      <c r="B75" t="s">
        <v>806</v>
      </c>
      <c r="C75" s="5">
        <v>45092</v>
      </c>
      <c r="D75" s="5">
        <v>45122</v>
      </c>
      <c r="E75" s="3">
        <v>2082.92</v>
      </c>
      <c r="F75" t="s">
        <v>815</v>
      </c>
      <c r="G75" t="s">
        <v>817</v>
      </c>
      <c r="H75" s="5" t="s">
        <v>825</v>
      </c>
      <c r="I75" s="7">
        <f t="shared" si="1"/>
        <v>984</v>
      </c>
      <c r="J75" s="13" t="str" cm="1">
        <f t="array" ref="J75">_xlfn.IFS(I75=0, "Settled", I75&lt;=30, "1-30", I75&lt;=90, "31-90", I75&lt;=365, "91-365", I75&gt;365, "1 Year+")</f>
        <v>1 Year+</v>
      </c>
      <c r="K75" t="s">
        <v>819</v>
      </c>
      <c r="L75" s="3" cm="1">
        <f t="array" ref="L75">_xlfn.IFS(F75="AUD",E75*$V$2,F75="CAD",E75*$V$3,F75="EUR",E75*$V$4,F75="GBP",E75*$V$5,F75="USD",E75*$V$6)</f>
        <v>3020.2339999999999</v>
      </c>
      <c r="M75" s="3" cm="1">
        <f t="array" ref="M75">_xlfn.IFS(G75="Paid", L75, G75="Partial", L75*0.5, G75="Open", 0)</f>
        <v>1510.117</v>
      </c>
      <c r="N75" s="3" cm="1">
        <f t="array" ref="N75">_xlfn.IFS(G75="Open", L75, G75="Partial", L75*0.5, G75="Paid", 0)</f>
        <v>1510.117</v>
      </c>
    </row>
    <row r="76" spans="1:14" x14ac:dyDescent="0.25">
      <c r="A76" t="s">
        <v>80</v>
      </c>
      <c r="B76" t="s">
        <v>808</v>
      </c>
      <c r="C76" s="5">
        <v>45187</v>
      </c>
      <c r="D76" s="5">
        <v>45217</v>
      </c>
      <c r="E76" s="3">
        <v>3536.09</v>
      </c>
      <c r="F76" t="s">
        <v>814</v>
      </c>
      <c r="G76" t="s">
        <v>818</v>
      </c>
      <c r="H76" s="5">
        <v>45217</v>
      </c>
      <c r="I76" s="7">
        <f t="shared" si="1"/>
        <v>0</v>
      </c>
      <c r="J76" s="13" t="str" cm="1">
        <f t="array" ref="J76">_xlfn.IFS(I76=0, "Settled", I76&lt;=30, "1-30", I76&lt;=90, "31-90", I76&lt;=365, "91-365", I76&gt;365, "1 Year+")</f>
        <v>Settled</v>
      </c>
      <c r="K76" t="s">
        <v>819</v>
      </c>
      <c r="L76" s="3" cm="1">
        <f t="array" ref="L76">_xlfn.IFS(F76="AUD",E76*$V$2,F76="CAD",E76*$V$3,F76="EUR",E76*$V$4,F76="GBP",E76*$V$5,F76="USD",E76*$V$6)</f>
        <v>3536.09</v>
      </c>
      <c r="M76" s="3" cm="1">
        <f t="array" ref="M76">_xlfn.IFS(G76="Paid", L76, G76="Partial", L76*0.5, G76="Open", 0)</f>
        <v>3536.09</v>
      </c>
      <c r="N76" s="3" cm="1">
        <f t="array" ref="N76">_xlfn.IFS(G76="Open", L76, G76="Partial", L76*0.5, G76="Paid", 0)</f>
        <v>0</v>
      </c>
    </row>
    <row r="77" spans="1:14" x14ac:dyDescent="0.25">
      <c r="A77" t="s">
        <v>81</v>
      </c>
      <c r="B77" t="s">
        <v>806</v>
      </c>
      <c r="C77" s="5">
        <v>45661</v>
      </c>
      <c r="D77" s="5">
        <v>45691</v>
      </c>
      <c r="E77" s="3">
        <v>3984.82</v>
      </c>
      <c r="F77" t="s">
        <v>812</v>
      </c>
      <c r="G77" t="s">
        <v>816</v>
      </c>
      <c r="H77" s="5" t="s">
        <v>825</v>
      </c>
      <c r="I77" s="7">
        <f t="shared" si="1"/>
        <v>415</v>
      </c>
      <c r="J77" s="13" t="str" cm="1">
        <f t="array" ref="J77">_xlfn.IFS(I77=0, "Settled", I77&lt;=30, "1-30", I77&lt;=90, "31-90", I77&lt;=365, "91-365", I77&gt;365, "1 Year+")</f>
        <v>1 Year+</v>
      </c>
      <c r="K77" t="s">
        <v>819</v>
      </c>
      <c r="L77" s="3" cm="1">
        <f t="array" ref="L77">_xlfn.IFS(F77="AUD",E77*$V$2,F77="CAD",E77*$V$3,F77="EUR",E77*$V$4,F77="GBP",E77*$V$5,F77="USD",E77*$V$6)</f>
        <v>5499.0515999999998</v>
      </c>
      <c r="M77" s="3" cm="1">
        <f t="array" ref="M77">_xlfn.IFS(G77="Paid", L77, G77="Partial", L77*0.5, G77="Open", 0)</f>
        <v>0</v>
      </c>
      <c r="N77" s="3" cm="1">
        <f t="array" ref="N77">_xlfn.IFS(G77="Open", L77, G77="Partial", L77*0.5, G77="Paid", 0)</f>
        <v>5499.0515999999998</v>
      </c>
    </row>
    <row r="78" spans="1:14" x14ac:dyDescent="0.25">
      <c r="A78" t="s">
        <v>82</v>
      </c>
      <c r="B78" t="s">
        <v>810</v>
      </c>
      <c r="C78" s="5">
        <v>45068</v>
      </c>
      <c r="D78" s="5">
        <v>45098</v>
      </c>
      <c r="E78" s="3">
        <v>1175.94</v>
      </c>
      <c r="F78" t="s">
        <v>814</v>
      </c>
      <c r="G78" t="s">
        <v>817</v>
      </c>
      <c r="H78" s="5" t="s">
        <v>825</v>
      </c>
      <c r="I78" s="7">
        <f t="shared" si="1"/>
        <v>1008</v>
      </c>
      <c r="J78" s="13" t="str" cm="1">
        <f t="array" ref="J78">_xlfn.IFS(I78=0, "Settled", I78&lt;=30, "1-30", I78&lt;=90, "31-90", I78&lt;=365, "91-365", I78&gt;365, "1 Year+")</f>
        <v>1 Year+</v>
      </c>
      <c r="K78" t="s">
        <v>819</v>
      </c>
      <c r="L78" s="3" cm="1">
        <f t="array" ref="L78">_xlfn.IFS(F78="AUD",E78*$V$2,F78="CAD",E78*$V$3,F78="EUR",E78*$V$4,F78="GBP",E78*$V$5,F78="USD",E78*$V$6)</f>
        <v>1175.94</v>
      </c>
      <c r="M78" s="3" cm="1">
        <f t="array" ref="M78">_xlfn.IFS(G78="Paid", L78, G78="Partial", L78*0.5, G78="Open", 0)</f>
        <v>587.97</v>
      </c>
      <c r="N78" s="3" cm="1">
        <f t="array" ref="N78">_xlfn.IFS(G78="Open", L78, G78="Partial", L78*0.5, G78="Paid", 0)</f>
        <v>587.97</v>
      </c>
    </row>
    <row r="79" spans="1:14" x14ac:dyDescent="0.25">
      <c r="A79" t="s">
        <v>83</v>
      </c>
      <c r="B79" t="s">
        <v>809</v>
      </c>
      <c r="C79" s="5">
        <v>45556</v>
      </c>
      <c r="D79" s="5">
        <v>45586</v>
      </c>
      <c r="E79" s="3">
        <v>1596.04</v>
      </c>
      <c r="F79" t="s">
        <v>815</v>
      </c>
      <c r="G79" t="s">
        <v>818</v>
      </c>
      <c r="H79" s="5">
        <v>45586</v>
      </c>
      <c r="I79" s="7">
        <f t="shared" si="1"/>
        <v>0</v>
      </c>
      <c r="J79" s="13" t="str" cm="1">
        <f t="array" ref="J79">_xlfn.IFS(I79=0, "Settled", I79&lt;=30, "1-30", I79&lt;=90, "31-90", I79&lt;=365, "91-365", I79&gt;365, "1 Year+")</f>
        <v>Settled</v>
      </c>
      <c r="K79" t="s">
        <v>819</v>
      </c>
      <c r="L79" s="3" cm="1">
        <f t="array" ref="L79">_xlfn.IFS(F79="AUD",E79*$V$2,F79="CAD",E79*$V$3,F79="EUR",E79*$V$4,F79="GBP",E79*$V$5,F79="USD",E79*$V$6)</f>
        <v>2314.2579999999998</v>
      </c>
      <c r="M79" s="3" cm="1">
        <f t="array" ref="M79">_xlfn.IFS(G79="Paid", L79, G79="Partial", L79*0.5, G79="Open", 0)</f>
        <v>2314.2579999999998</v>
      </c>
      <c r="N79" s="3" cm="1">
        <f t="array" ref="N79">_xlfn.IFS(G79="Open", L79, G79="Partial", L79*0.5, G79="Paid", 0)</f>
        <v>0</v>
      </c>
    </row>
    <row r="80" spans="1:14" x14ac:dyDescent="0.25">
      <c r="A80" t="s">
        <v>84</v>
      </c>
      <c r="B80" t="s">
        <v>809</v>
      </c>
      <c r="C80" s="5">
        <v>45401</v>
      </c>
      <c r="D80" s="5">
        <v>45431</v>
      </c>
      <c r="E80" s="3">
        <v>1687.52</v>
      </c>
      <c r="F80" t="s">
        <v>814</v>
      </c>
      <c r="G80" t="s">
        <v>818</v>
      </c>
      <c r="H80" s="5">
        <v>45431</v>
      </c>
      <c r="I80" s="7">
        <f t="shared" si="1"/>
        <v>0</v>
      </c>
      <c r="J80" s="13" t="str" cm="1">
        <f t="array" ref="J80">_xlfn.IFS(I80=0, "Settled", I80&lt;=30, "1-30", I80&lt;=90, "31-90", I80&lt;=365, "91-365", I80&gt;365, "1 Year+")</f>
        <v>Settled</v>
      </c>
      <c r="K80" t="s">
        <v>819</v>
      </c>
      <c r="L80" s="3" cm="1">
        <f t="array" ref="L80">_xlfn.IFS(F80="AUD",E80*$V$2,F80="CAD",E80*$V$3,F80="EUR",E80*$V$4,F80="GBP",E80*$V$5,F80="USD",E80*$V$6)</f>
        <v>1687.52</v>
      </c>
      <c r="M80" s="3" cm="1">
        <f t="array" ref="M80">_xlfn.IFS(G80="Paid", L80, G80="Partial", L80*0.5, G80="Open", 0)</f>
        <v>1687.52</v>
      </c>
      <c r="N80" s="3" cm="1">
        <f t="array" ref="N80">_xlfn.IFS(G80="Open", L80, G80="Partial", L80*0.5, G80="Paid", 0)</f>
        <v>0</v>
      </c>
    </row>
    <row r="81" spans="1:14" x14ac:dyDescent="0.25">
      <c r="A81" t="s">
        <v>85</v>
      </c>
      <c r="B81" t="s">
        <v>809</v>
      </c>
      <c r="C81" s="5">
        <v>45161</v>
      </c>
      <c r="D81" s="5">
        <v>45191</v>
      </c>
      <c r="E81" s="3">
        <v>1247.56</v>
      </c>
      <c r="F81" t="s">
        <v>814</v>
      </c>
      <c r="G81" t="s">
        <v>818</v>
      </c>
      <c r="H81" s="5">
        <v>45191</v>
      </c>
      <c r="I81" s="7">
        <f t="shared" si="1"/>
        <v>0</v>
      </c>
      <c r="J81" s="13" t="str" cm="1">
        <f t="array" ref="J81">_xlfn.IFS(I81=0, "Settled", I81&lt;=30, "1-30", I81&lt;=90, "31-90", I81&lt;=365, "91-365", I81&gt;365, "1 Year+")</f>
        <v>Settled</v>
      </c>
      <c r="K81" t="s">
        <v>819</v>
      </c>
      <c r="L81" s="3" cm="1">
        <f t="array" ref="L81">_xlfn.IFS(F81="AUD",E81*$V$2,F81="CAD",E81*$V$3,F81="EUR",E81*$V$4,F81="GBP",E81*$V$5,F81="USD",E81*$V$6)</f>
        <v>1247.56</v>
      </c>
      <c r="M81" s="3" cm="1">
        <f t="array" ref="M81">_xlfn.IFS(G81="Paid", L81, G81="Partial", L81*0.5, G81="Open", 0)</f>
        <v>1247.56</v>
      </c>
      <c r="N81" s="3" cm="1">
        <f t="array" ref="N81">_xlfn.IFS(G81="Open", L81, G81="Partial", L81*0.5, G81="Paid", 0)</f>
        <v>0</v>
      </c>
    </row>
    <row r="82" spans="1:14" x14ac:dyDescent="0.25">
      <c r="A82" t="s">
        <v>86</v>
      </c>
      <c r="B82" t="s">
        <v>808</v>
      </c>
      <c r="C82" s="5">
        <v>45811</v>
      </c>
      <c r="D82" s="5">
        <v>45841</v>
      </c>
      <c r="E82" s="3">
        <v>3330.96</v>
      </c>
      <c r="F82" t="s">
        <v>815</v>
      </c>
      <c r="G82" t="s">
        <v>817</v>
      </c>
      <c r="H82" s="5" t="s">
        <v>825</v>
      </c>
      <c r="I82" s="7">
        <f t="shared" si="1"/>
        <v>265</v>
      </c>
      <c r="J82" s="13" t="str" cm="1">
        <f t="array" ref="J82">_xlfn.IFS(I82=0, "Settled", I82&lt;=30, "1-30", I82&lt;=90, "31-90", I82&lt;=365, "91-365", I82&gt;365, "1 Year+")</f>
        <v>91-365</v>
      </c>
      <c r="K82" t="s">
        <v>819</v>
      </c>
      <c r="L82" s="3" cm="1">
        <f t="array" ref="L82">_xlfn.IFS(F82="AUD",E82*$V$2,F82="CAD",E82*$V$3,F82="EUR",E82*$V$4,F82="GBP",E82*$V$5,F82="USD",E82*$V$6)</f>
        <v>4829.8919999999998</v>
      </c>
      <c r="M82" s="3" cm="1">
        <f t="array" ref="M82">_xlfn.IFS(G82="Paid", L82, G82="Partial", L82*0.5, G82="Open", 0)</f>
        <v>2414.9459999999999</v>
      </c>
      <c r="N82" s="3" cm="1">
        <f t="array" ref="N82">_xlfn.IFS(G82="Open", L82, G82="Partial", L82*0.5, G82="Paid", 0)</f>
        <v>2414.9459999999999</v>
      </c>
    </row>
    <row r="83" spans="1:14" x14ac:dyDescent="0.25">
      <c r="A83" t="s">
        <v>87</v>
      </c>
      <c r="B83" t="s">
        <v>810</v>
      </c>
      <c r="C83" s="5">
        <v>45561</v>
      </c>
      <c r="D83" s="5">
        <v>45591</v>
      </c>
      <c r="E83" s="3">
        <v>1612.59</v>
      </c>
      <c r="F83" t="s">
        <v>811</v>
      </c>
      <c r="G83" t="s">
        <v>816</v>
      </c>
      <c r="H83" s="5" t="s">
        <v>825</v>
      </c>
      <c r="I83" s="7">
        <f t="shared" si="1"/>
        <v>515</v>
      </c>
      <c r="J83" s="13" t="str" cm="1">
        <f t="array" ref="J83">_xlfn.IFS(I83=0, "Settled", I83&lt;=30, "1-30", I83&lt;=90, "31-90", I83&lt;=365, "91-365", I83&gt;365, "1 Year+")</f>
        <v>1 Year+</v>
      </c>
      <c r="K83" t="s">
        <v>819</v>
      </c>
      <c r="L83" s="3" cm="1">
        <f t="array" ref="L83">_xlfn.IFS(F83="AUD",E83*$V$2,F83="CAD",E83*$V$3,F83="EUR",E83*$V$4,F83="GBP",E83*$V$5,F83="USD",E83*$V$6)</f>
        <v>1386.8273999999999</v>
      </c>
      <c r="M83" s="3" cm="1">
        <f t="array" ref="M83">_xlfn.IFS(G83="Paid", L83, G83="Partial", L83*0.5, G83="Open", 0)</f>
        <v>0</v>
      </c>
      <c r="N83" s="3" cm="1">
        <f t="array" ref="N83">_xlfn.IFS(G83="Open", L83, G83="Partial", L83*0.5, G83="Paid", 0)</f>
        <v>1386.8273999999999</v>
      </c>
    </row>
    <row r="84" spans="1:14" x14ac:dyDescent="0.25">
      <c r="A84" t="s">
        <v>88</v>
      </c>
      <c r="B84" t="s">
        <v>809</v>
      </c>
      <c r="C84" s="5">
        <v>45458</v>
      </c>
      <c r="D84" s="5">
        <v>45488</v>
      </c>
      <c r="E84" s="3">
        <v>1096.08</v>
      </c>
      <c r="F84" t="s">
        <v>812</v>
      </c>
      <c r="G84" t="s">
        <v>817</v>
      </c>
      <c r="H84" s="5" t="s">
        <v>825</v>
      </c>
      <c r="I84" s="7">
        <f t="shared" si="1"/>
        <v>618</v>
      </c>
      <c r="J84" s="13" t="str" cm="1">
        <f t="array" ref="J84">_xlfn.IFS(I84=0, "Settled", I84&lt;=30, "1-30", I84&lt;=90, "31-90", I84&lt;=365, "91-365", I84&gt;365, "1 Year+")</f>
        <v>1 Year+</v>
      </c>
      <c r="K84" t="s">
        <v>819</v>
      </c>
      <c r="L84" s="3" cm="1">
        <f t="array" ref="L84">_xlfn.IFS(F84="AUD",E84*$V$2,F84="CAD",E84*$V$3,F84="EUR",E84*$V$4,F84="GBP",E84*$V$5,F84="USD",E84*$V$6)</f>
        <v>1512.5903999999998</v>
      </c>
      <c r="M84" s="3" cm="1">
        <f t="array" ref="M84">_xlfn.IFS(G84="Paid", L84, G84="Partial", L84*0.5, G84="Open", 0)</f>
        <v>756.29519999999991</v>
      </c>
      <c r="N84" s="3" cm="1">
        <f t="array" ref="N84">_xlfn.IFS(G84="Open", L84, G84="Partial", L84*0.5, G84="Paid", 0)</f>
        <v>756.29519999999991</v>
      </c>
    </row>
    <row r="85" spans="1:14" x14ac:dyDescent="0.25">
      <c r="A85" t="s">
        <v>89</v>
      </c>
      <c r="B85" t="s">
        <v>808</v>
      </c>
      <c r="C85" s="5">
        <v>45423</v>
      </c>
      <c r="D85" s="5">
        <v>45453</v>
      </c>
      <c r="E85" s="3">
        <v>1927.05</v>
      </c>
      <c r="F85" t="s">
        <v>814</v>
      </c>
      <c r="G85" t="s">
        <v>817</v>
      </c>
      <c r="H85" s="5" t="s">
        <v>825</v>
      </c>
      <c r="I85" s="7">
        <f t="shared" si="1"/>
        <v>653</v>
      </c>
      <c r="J85" s="13" t="str" cm="1">
        <f t="array" ref="J85">_xlfn.IFS(I85=0, "Settled", I85&lt;=30, "1-30", I85&lt;=90, "31-90", I85&lt;=365, "91-365", I85&gt;365, "1 Year+")</f>
        <v>1 Year+</v>
      </c>
      <c r="K85" t="s">
        <v>819</v>
      </c>
      <c r="L85" s="3" cm="1">
        <f t="array" ref="L85">_xlfn.IFS(F85="AUD",E85*$V$2,F85="CAD",E85*$V$3,F85="EUR",E85*$V$4,F85="GBP",E85*$V$5,F85="USD",E85*$V$6)</f>
        <v>1927.05</v>
      </c>
      <c r="M85" s="3" cm="1">
        <f t="array" ref="M85">_xlfn.IFS(G85="Paid", L85, G85="Partial", L85*0.5, G85="Open", 0)</f>
        <v>963.52499999999998</v>
      </c>
      <c r="N85" s="3" cm="1">
        <f t="array" ref="N85">_xlfn.IFS(G85="Open", L85, G85="Partial", L85*0.5, G85="Paid", 0)</f>
        <v>963.52499999999998</v>
      </c>
    </row>
    <row r="86" spans="1:14" x14ac:dyDescent="0.25">
      <c r="A86" t="s">
        <v>90</v>
      </c>
      <c r="B86" t="s">
        <v>808</v>
      </c>
      <c r="C86" s="5">
        <v>45082</v>
      </c>
      <c r="D86" s="5">
        <v>45112</v>
      </c>
      <c r="E86" s="3">
        <v>1169.93</v>
      </c>
      <c r="F86" t="s">
        <v>814</v>
      </c>
      <c r="G86" t="s">
        <v>816</v>
      </c>
      <c r="H86" s="5" t="s">
        <v>825</v>
      </c>
      <c r="I86" s="7">
        <f t="shared" si="1"/>
        <v>994</v>
      </c>
      <c r="J86" s="13" t="str" cm="1">
        <f t="array" ref="J86">_xlfn.IFS(I86=0, "Settled", I86&lt;=30, "1-30", I86&lt;=90, "31-90", I86&lt;=365, "91-365", I86&gt;365, "1 Year+")</f>
        <v>1 Year+</v>
      </c>
      <c r="K86" t="s">
        <v>819</v>
      </c>
      <c r="L86" s="3" cm="1">
        <f t="array" ref="L86">_xlfn.IFS(F86="AUD",E86*$V$2,F86="CAD",E86*$V$3,F86="EUR",E86*$V$4,F86="GBP",E86*$V$5,F86="USD",E86*$V$6)</f>
        <v>1169.93</v>
      </c>
      <c r="M86" s="3" cm="1">
        <f t="array" ref="M86">_xlfn.IFS(G86="Paid", L86, G86="Partial", L86*0.5, G86="Open", 0)</f>
        <v>0</v>
      </c>
      <c r="N86" s="3" cm="1">
        <f t="array" ref="N86">_xlfn.IFS(G86="Open", L86, G86="Partial", L86*0.5, G86="Paid", 0)</f>
        <v>1169.93</v>
      </c>
    </row>
    <row r="87" spans="1:14" x14ac:dyDescent="0.25">
      <c r="A87" t="s">
        <v>91</v>
      </c>
      <c r="B87" t="s">
        <v>810</v>
      </c>
      <c r="C87" s="5">
        <v>45820</v>
      </c>
      <c r="D87" s="5">
        <v>45850</v>
      </c>
      <c r="E87" s="3">
        <v>662.31</v>
      </c>
      <c r="F87" t="s">
        <v>813</v>
      </c>
      <c r="G87" t="s">
        <v>816</v>
      </c>
      <c r="H87" s="5" t="s">
        <v>825</v>
      </c>
      <c r="I87" s="7">
        <f t="shared" si="1"/>
        <v>256</v>
      </c>
      <c r="J87" s="13" t="str" cm="1">
        <f t="array" ref="J87">_xlfn.IFS(I87=0, "Settled", I87&lt;=30, "1-30", I87&lt;=90, "31-90", I87&lt;=365, "91-365", I87&gt;365, "1 Year+")</f>
        <v>91-365</v>
      </c>
      <c r="K87" t="s">
        <v>819</v>
      </c>
      <c r="L87" s="3" cm="1">
        <f t="array" ref="L87">_xlfn.IFS(F87="AUD",E87*$V$2,F87="CAD",E87*$V$3,F87="EUR",E87*$V$4,F87="GBP",E87*$V$5,F87="USD",E87*$V$6)</f>
        <v>496.73249999999996</v>
      </c>
      <c r="M87" s="3" cm="1">
        <f t="array" ref="M87">_xlfn.IFS(G87="Paid", L87, G87="Partial", L87*0.5, G87="Open", 0)</f>
        <v>0</v>
      </c>
      <c r="N87" s="3" cm="1">
        <f t="array" ref="N87">_xlfn.IFS(G87="Open", L87, G87="Partial", L87*0.5, G87="Paid", 0)</f>
        <v>496.73249999999996</v>
      </c>
    </row>
    <row r="88" spans="1:14" x14ac:dyDescent="0.25">
      <c r="A88" t="s">
        <v>92</v>
      </c>
      <c r="B88" t="s">
        <v>810</v>
      </c>
      <c r="C88" s="5">
        <v>45111</v>
      </c>
      <c r="D88" s="5">
        <v>45141</v>
      </c>
      <c r="E88" s="3">
        <v>3443.5</v>
      </c>
      <c r="F88" t="s">
        <v>812</v>
      </c>
      <c r="G88" t="s">
        <v>818</v>
      </c>
      <c r="H88" s="5">
        <v>45141</v>
      </c>
      <c r="I88" s="7">
        <f t="shared" si="1"/>
        <v>0</v>
      </c>
      <c r="J88" s="13" t="str" cm="1">
        <f t="array" ref="J88">_xlfn.IFS(I88=0, "Settled", I88&lt;=30, "1-30", I88&lt;=90, "31-90", I88&lt;=365, "91-365", I88&gt;365, "1 Year+")</f>
        <v>Settled</v>
      </c>
      <c r="K88" t="s">
        <v>819</v>
      </c>
      <c r="L88" s="3" cm="1">
        <f t="array" ref="L88">_xlfn.IFS(F88="AUD",E88*$V$2,F88="CAD",E88*$V$3,F88="EUR",E88*$V$4,F88="GBP",E88*$V$5,F88="USD",E88*$V$6)</f>
        <v>4752.03</v>
      </c>
      <c r="M88" s="3" cm="1">
        <f t="array" ref="M88">_xlfn.IFS(G88="Paid", L88, G88="Partial", L88*0.5, G88="Open", 0)</f>
        <v>4752.03</v>
      </c>
      <c r="N88" s="3" cm="1">
        <f t="array" ref="N88">_xlfn.IFS(G88="Open", L88, G88="Partial", L88*0.5, G88="Paid", 0)</f>
        <v>0</v>
      </c>
    </row>
    <row r="89" spans="1:14" x14ac:dyDescent="0.25">
      <c r="A89" t="s">
        <v>93</v>
      </c>
      <c r="B89" t="s">
        <v>810</v>
      </c>
      <c r="C89" s="5">
        <v>45456</v>
      </c>
      <c r="D89" s="5">
        <v>45486</v>
      </c>
      <c r="E89" s="3">
        <v>3290.86</v>
      </c>
      <c r="F89" t="s">
        <v>812</v>
      </c>
      <c r="G89" t="s">
        <v>818</v>
      </c>
      <c r="H89" s="5">
        <v>45486</v>
      </c>
      <c r="I89" s="7">
        <f t="shared" si="1"/>
        <v>0</v>
      </c>
      <c r="J89" s="13" t="str" cm="1">
        <f t="array" ref="J89">_xlfn.IFS(I89=0, "Settled", I89&lt;=30, "1-30", I89&lt;=90, "31-90", I89&lt;=365, "91-365", I89&gt;365, "1 Year+")</f>
        <v>Settled</v>
      </c>
      <c r="K89" t="s">
        <v>819</v>
      </c>
      <c r="L89" s="3" cm="1">
        <f t="array" ref="L89">_xlfn.IFS(F89="AUD",E89*$V$2,F89="CAD",E89*$V$3,F89="EUR",E89*$V$4,F89="GBP",E89*$V$5,F89="USD",E89*$V$6)</f>
        <v>4541.3868000000002</v>
      </c>
      <c r="M89" s="3" cm="1">
        <f t="array" ref="M89">_xlfn.IFS(G89="Paid", L89, G89="Partial", L89*0.5, G89="Open", 0)</f>
        <v>4541.3868000000002</v>
      </c>
      <c r="N89" s="3" cm="1">
        <f t="array" ref="N89">_xlfn.IFS(G89="Open", L89, G89="Partial", L89*0.5, G89="Paid", 0)</f>
        <v>0</v>
      </c>
    </row>
    <row r="90" spans="1:14" x14ac:dyDescent="0.25">
      <c r="A90" t="s">
        <v>94</v>
      </c>
      <c r="B90" t="s">
        <v>810</v>
      </c>
      <c r="C90" s="5">
        <v>45737</v>
      </c>
      <c r="D90" s="5">
        <v>45767</v>
      </c>
      <c r="E90" s="3">
        <v>1872.61</v>
      </c>
      <c r="F90" t="s">
        <v>811</v>
      </c>
      <c r="G90" t="s">
        <v>816</v>
      </c>
      <c r="H90" s="5" t="s">
        <v>825</v>
      </c>
      <c r="I90" s="7">
        <f t="shared" si="1"/>
        <v>339</v>
      </c>
      <c r="J90" s="13" t="str" cm="1">
        <f t="array" ref="J90">_xlfn.IFS(I90=0, "Settled", I90&lt;=30, "1-30", I90&lt;=90, "31-90", I90&lt;=365, "91-365", I90&gt;365, "1 Year+")</f>
        <v>91-365</v>
      </c>
      <c r="K90" t="s">
        <v>819</v>
      </c>
      <c r="L90" s="3" cm="1">
        <f t="array" ref="L90">_xlfn.IFS(F90="AUD",E90*$V$2,F90="CAD",E90*$V$3,F90="EUR",E90*$V$4,F90="GBP",E90*$V$5,F90="USD",E90*$V$6)</f>
        <v>1610.4445999999998</v>
      </c>
      <c r="M90" s="3" cm="1">
        <f t="array" ref="M90">_xlfn.IFS(G90="Paid", L90, G90="Partial", L90*0.5, G90="Open", 0)</f>
        <v>0</v>
      </c>
      <c r="N90" s="3" cm="1">
        <f t="array" ref="N90">_xlfn.IFS(G90="Open", L90, G90="Partial", L90*0.5, G90="Paid", 0)</f>
        <v>1610.4445999999998</v>
      </c>
    </row>
    <row r="91" spans="1:14" x14ac:dyDescent="0.25">
      <c r="A91" t="s">
        <v>95</v>
      </c>
      <c r="B91" t="s">
        <v>810</v>
      </c>
      <c r="C91" s="5">
        <v>45520</v>
      </c>
      <c r="D91" s="5">
        <v>45550</v>
      </c>
      <c r="E91" s="3">
        <v>307.49</v>
      </c>
      <c r="F91" t="s">
        <v>813</v>
      </c>
      <c r="G91" t="s">
        <v>816</v>
      </c>
      <c r="H91" s="5" t="s">
        <v>825</v>
      </c>
      <c r="I91" s="7">
        <f t="shared" si="1"/>
        <v>556</v>
      </c>
      <c r="J91" s="13" t="str" cm="1">
        <f t="array" ref="J91">_xlfn.IFS(I91=0, "Settled", I91&lt;=30, "1-30", I91&lt;=90, "31-90", I91&lt;=365, "91-365", I91&gt;365, "1 Year+")</f>
        <v>1 Year+</v>
      </c>
      <c r="K91" t="s">
        <v>819</v>
      </c>
      <c r="L91" s="3" cm="1">
        <f t="array" ref="L91">_xlfn.IFS(F91="AUD",E91*$V$2,F91="CAD",E91*$V$3,F91="EUR",E91*$V$4,F91="GBP",E91*$V$5,F91="USD",E91*$V$6)</f>
        <v>230.61750000000001</v>
      </c>
      <c r="M91" s="3" cm="1">
        <f t="array" ref="M91">_xlfn.IFS(G91="Paid", L91, G91="Partial", L91*0.5, G91="Open", 0)</f>
        <v>0</v>
      </c>
      <c r="N91" s="3" cm="1">
        <f t="array" ref="N91">_xlfn.IFS(G91="Open", L91, G91="Partial", L91*0.5, G91="Paid", 0)</f>
        <v>230.61750000000001</v>
      </c>
    </row>
    <row r="92" spans="1:14" x14ac:dyDescent="0.25">
      <c r="A92" t="s">
        <v>96</v>
      </c>
      <c r="B92" t="s">
        <v>810</v>
      </c>
      <c r="C92" s="5">
        <v>45403</v>
      </c>
      <c r="D92" s="5">
        <v>45433</v>
      </c>
      <c r="E92" s="3">
        <v>211.08</v>
      </c>
      <c r="F92" t="s">
        <v>815</v>
      </c>
      <c r="G92" t="s">
        <v>817</v>
      </c>
      <c r="H92" s="5" t="s">
        <v>825</v>
      </c>
      <c r="I92" s="7">
        <f t="shared" si="1"/>
        <v>673</v>
      </c>
      <c r="J92" s="13" t="str" cm="1">
        <f t="array" ref="J92">_xlfn.IFS(I92=0, "Settled", I92&lt;=30, "1-30", I92&lt;=90, "31-90", I92&lt;=365, "91-365", I92&gt;365, "1 Year+")</f>
        <v>1 Year+</v>
      </c>
      <c r="K92" t="s">
        <v>819</v>
      </c>
      <c r="L92" s="3" cm="1">
        <f t="array" ref="L92">_xlfn.IFS(F92="AUD",E92*$V$2,F92="CAD",E92*$V$3,F92="EUR",E92*$V$4,F92="GBP",E92*$V$5,F92="USD",E92*$V$6)</f>
        <v>306.06600000000003</v>
      </c>
      <c r="M92" s="3" cm="1">
        <f t="array" ref="M92">_xlfn.IFS(G92="Paid", L92, G92="Partial", L92*0.5, G92="Open", 0)</f>
        <v>153.03300000000002</v>
      </c>
      <c r="N92" s="3" cm="1">
        <f t="array" ref="N92">_xlfn.IFS(G92="Open", L92, G92="Partial", L92*0.5, G92="Paid", 0)</f>
        <v>153.03300000000002</v>
      </c>
    </row>
    <row r="93" spans="1:14" x14ac:dyDescent="0.25">
      <c r="A93" t="s">
        <v>97</v>
      </c>
      <c r="B93" t="s">
        <v>810</v>
      </c>
      <c r="C93" s="5">
        <v>44966</v>
      </c>
      <c r="D93" s="5">
        <v>44996</v>
      </c>
      <c r="E93" s="3">
        <v>2052.0100000000002</v>
      </c>
      <c r="F93" t="s">
        <v>811</v>
      </c>
      <c r="G93" t="s">
        <v>816</v>
      </c>
      <c r="H93" s="5" t="s">
        <v>825</v>
      </c>
      <c r="I93" s="7">
        <f t="shared" si="1"/>
        <v>1110</v>
      </c>
      <c r="J93" s="13" t="str" cm="1">
        <f t="array" ref="J93">_xlfn.IFS(I93=0, "Settled", I93&lt;=30, "1-30", I93&lt;=90, "31-90", I93&lt;=365, "91-365", I93&gt;365, "1 Year+")</f>
        <v>1 Year+</v>
      </c>
      <c r="K93" t="s">
        <v>819</v>
      </c>
      <c r="L93" s="3" cm="1">
        <f t="array" ref="L93">_xlfn.IFS(F93="AUD",E93*$V$2,F93="CAD",E93*$V$3,F93="EUR",E93*$V$4,F93="GBP",E93*$V$5,F93="USD",E93*$V$6)</f>
        <v>1764.7286000000001</v>
      </c>
      <c r="M93" s="3" cm="1">
        <f t="array" ref="M93">_xlfn.IFS(G93="Paid", L93, G93="Partial", L93*0.5, G93="Open", 0)</f>
        <v>0</v>
      </c>
      <c r="N93" s="3" cm="1">
        <f t="array" ref="N93">_xlfn.IFS(G93="Open", L93, G93="Partial", L93*0.5, G93="Paid", 0)</f>
        <v>1764.7286000000001</v>
      </c>
    </row>
    <row r="94" spans="1:14" x14ac:dyDescent="0.25">
      <c r="A94" t="s">
        <v>98</v>
      </c>
      <c r="B94" t="s">
        <v>810</v>
      </c>
      <c r="C94" s="5">
        <v>45071</v>
      </c>
      <c r="D94" s="5">
        <v>45101</v>
      </c>
      <c r="E94" s="3">
        <v>4091.87</v>
      </c>
      <c r="F94" t="s">
        <v>815</v>
      </c>
      <c r="G94" t="s">
        <v>816</v>
      </c>
      <c r="H94" s="5" t="s">
        <v>825</v>
      </c>
      <c r="I94" s="7">
        <f t="shared" si="1"/>
        <v>1005</v>
      </c>
      <c r="J94" s="13" t="str" cm="1">
        <f t="array" ref="J94">_xlfn.IFS(I94=0, "Settled", I94&lt;=30, "1-30", I94&lt;=90, "31-90", I94&lt;=365, "91-365", I94&gt;365, "1 Year+")</f>
        <v>1 Year+</v>
      </c>
      <c r="K94" t="s">
        <v>819</v>
      </c>
      <c r="L94" s="3" cm="1">
        <f t="array" ref="L94">_xlfn.IFS(F94="AUD",E94*$V$2,F94="CAD",E94*$V$3,F94="EUR",E94*$V$4,F94="GBP",E94*$V$5,F94="USD",E94*$V$6)</f>
        <v>5933.2114999999994</v>
      </c>
      <c r="M94" s="3" cm="1">
        <f t="array" ref="M94">_xlfn.IFS(G94="Paid", L94, G94="Partial", L94*0.5, G94="Open", 0)</f>
        <v>0</v>
      </c>
      <c r="N94" s="3" cm="1">
        <f t="array" ref="N94">_xlfn.IFS(G94="Open", L94, G94="Partial", L94*0.5, G94="Paid", 0)</f>
        <v>5933.2114999999994</v>
      </c>
    </row>
    <row r="95" spans="1:14" x14ac:dyDescent="0.25">
      <c r="A95" t="s">
        <v>99</v>
      </c>
      <c r="B95" t="s">
        <v>809</v>
      </c>
      <c r="C95" s="5">
        <v>45227</v>
      </c>
      <c r="D95" s="5">
        <v>45257</v>
      </c>
      <c r="E95" s="3">
        <v>1321.04</v>
      </c>
      <c r="F95" t="s">
        <v>815</v>
      </c>
      <c r="G95" t="s">
        <v>816</v>
      </c>
      <c r="H95" s="5" t="s">
        <v>825</v>
      </c>
      <c r="I95" s="7">
        <f t="shared" si="1"/>
        <v>849</v>
      </c>
      <c r="J95" s="13" t="str" cm="1">
        <f t="array" ref="J95">_xlfn.IFS(I95=0, "Settled", I95&lt;=30, "1-30", I95&lt;=90, "31-90", I95&lt;=365, "91-365", I95&gt;365, "1 Year+")</f>
        <v>1 Year+</v>
      </c>
      <c r="K95" t="s">
        <v>819</v>
      </c>
      <c r="L95" s="3" cm="1">
        <f t="array" ref="L95">_xlfn.IFS(F95="AUD",E95*$V$2,F95="CAD",E95*$V$3,F95="EUR",E95*$V$4,F95="GBP",E95*$V$5,F95="USD",E95*$V$6)</f>
        <v>1915.5079999999998</v>
      </c>
      <c r="M95" s="3" cm="1">
        <f t="array" ref="M95">_xlfn.IFS(G95="Paid", L95, G95="Partial", L95*0.5, G95="Open", 0)</f>
        <v>0</v>
      </c>
      <c r="N95" s="3" cm="1">
        <f t="array" ref="N95">_xlfn.IFS(G95="Open", L95, G95="Partial", L95*0.5, G95="Paid", 0)</f>
        <v>1915.5079999999998</v>
      </c>
    </row>
    <row r="96" spans="1:14" x14ac:dyDescent="0.25">
      <c r="A96" t="s">
        <v>100</v>
      </c>
      <c r="B96" t="s">
        <v>806</v>
      </c>
      <c r="C96" s="5">
        <v>45088</v>
      </c>
      <c r="D96" s="5">
        <v>45118</v>
      </c>
      <c r="E96" s="3">
        <v>4205.21</v>
      </c>
      <c r="F96" t="s">
        <v>815</v>
      </c>
      <c r="G96" t="s">
        <v>818</v>
      </c>
      <c r="H96" s="5">
        <v>45118</v>
      </c>
      <c r="I96" s="7">
        <f t="shared" si="1"/>
        <v>0</v>
      </c>
      <c r="J96" s="13" t="str" cm="1">
        <f t="array" ref="J96">_xlfn.IFS(I96=0, "Settled", I96&lt;=30, "1-30", I96&lt;=90, "31-90", I96&lt;=365, "91-365", I96&gt;365, "1 Year+")</f>
        <v>Settled</v>
      </c>
      <c r="K96" t="s">
        <v>819</v>
      </c>
      <c r="L96" s="3" cm="1">
        <f t="array" ref="L96">_xlfn.IFS(F96="AUD",E96*$V$2,F96="CAD",E96*$V$3,F96="EUR",E96*$V$4,F96="GBP",E96*$V$5,F96="USD",E96*$V$6)</f>
        <v>6097.5545000000002</v>
      </c>
      <c r="M96" s="3" cm="1">
        <f t="array" ref="M96">_xlfn.IFS(G96="Paid", L96, G96="Partial", L96*0.5, G96="Open", 0)</f>
        <v>6097.5545000000002</v>
      </c>
      <c r="N96" s="3" cm="1">
        <f t="array" ref="N96">_xlfn.IFS(G96="Open", L96, G96="Partial", L96*0.5, G96="Paid", 0)</f>
        <v>0</v>
      </c>
    </row>
    <row r="97" spans="1:14" x14ac:dyDescent="0.25">
      <c r="A97" t="s">
        <v>101</v>
      </c>
      <c r="B97" t="s">
        <v>807</v>
      </c>
      <c r="C97" s="5">
        <v>45426</v>
      </c>
      <c r="D97" s="5">
        <v>45456</v>
      </c>
      <c r="E97" s="3">
        <v>4804.12</v>
      </c>
      <c r="F97" t="s">
        <v>812</v>
      </c>
      <c r="G97" t="s">
        <v>816</v>
      </c>
      <c r="H97" s="5" t="s">
        <v>825</v>
      </c>
      <c r="I97" s="7">
        <f t="shared" si="1"/>
        <v>650</v>
      </c>
      <c r="J97" s="13" t="str" cm="1">
        <f t="array" ref="J97">_xlfn.IFS(I97=0, "Settled", I97&lt;=30, "1-30", I97&lt;=90, "31-90", I97&lt;=365, "91-365", I97&gt;365, "1 Year+")</f>
        <v>1 Year+</v>
      </c>
      <c r="K97" t="s">
        <v>819</v>
      </c>
      <c r="L97" s="3" cm="1">
        <f t="array" ref="L97">_xlfn.IFS(F97="AUD",E97*$V$2,F97="CAD",E97*$V$3,F97="EUR",E97*$V$4,F97="GBP",E97*$V$5,F97="USD",E97*$V$6)</f>
        <v>6629.6855999999989</v>
      </c>
      <c r="M97" s="3" cm="1">
        <f t="array" ref="M97">_xlfn.IFS(G97="Paid", L97, G97="Partial", L97*0.5, G97="Open", 0)</f>
        <v>0</v>
      </c>
      <c r="N97" s="3" cm="1">
        <f t="array" ref="N97">_xlfn.IFS(G97="Open", L97, G97="Partial", L97*0.5, G97="Paid", 0)</f>
        <v>6629.6855999999989</v>
      </c>
    </row>
    <row r="98" spans="1:14" x14ac:dyDescent="0.25">
      <c r="A98" t="s">
        <v>102</v>
      </c>
      <c r="B98" t="s">
        <v>807</v>
      </c>
      <c r="C98" s="5">
        <v>45442</v>
      </c>
      <c r="D98" s="5">
        <v>45472</v>
      </c>
      <c r="E98" s="3">
        <v>2179.34</v>
      </c>
      <c r="F98" t="s">
        <v>814</v>
      </c>
      <c r="G98" t="s">
        <v>818</v>
      </c>
      <c r="H98" s="5">
        <v>45472</v>
      </c>
      <c r="I98" s="7">
        <f t="shared" si="1"/>
        <v>0</v>
      </c>
      <c r="J98" s="13" t="str" cm="1">
        <f t="array" ref="J98">_xlfn.IFS(I98=0, "Settled", I98&lt;=30, "1-30", I98&lt;=90, "31-90", I98&lt;=365, "91-365", I98&gt;365, "1 Year+")</f>
        <v>Settled</v>
      </c>
      <c r="K98" t="s">
        <v>819</v>
      </c>
      <c r="L98" s="3" cm="1">
        <f t="array" ref="L98">_xlfn.IFS(F98="AUD",E98*$V$2,F98="CAD",E98*$V$3,F98="EUR",E98*$V$4,F98="GBP",E98*$V$5,F98="USD",E98*$V$6)</f>
        <v>2179.34</v>
      </c>
      <c r="M98" s="3" cm="1">
        <f t="array" ref="M98">_xlfn.IFS(G98="Paid", L98, G98="Partial", L98*0.5, G98="Open", 0)</f>
        <v>2179.34</v>
      </c>
      <c r="N98" s="3" cm="1">
        <f t="array" ref="N98">_xlfn.IFS(G98="Open", L98, G98="Partial", L98*0.5, G98="Paid", 0)</f>
        <v>0</v>
      </c>
    </row>
    <row r="99" spans="1:14" x14ac:dyDescent="0.25">
      <c r="A99" t="s">
        <v>103</v>
      </c>
      <c r="B99" t="s">
        <v>808</v>
      </c>
      <c r="C99" s="5">
        <v>45350</v>
      </c>
      <c r="D99" s="5">
        <v>45380</v>
      </c>
      <c r="E99" s="3">
        <v>2918.59</v>
      </c>
      <c r="F99" t="s">
        <v>812</v>
      </c>
      <c r="G99" t="s">
        <v>816</v>
      </c>
      <c r="H99" s="5" t="s">
        <v>825</v>
      </c>
      <c r="I99" s="7">
        <f t="shared" si="1"/>
        <v>726</v>
      </c>
      <c r="J99" s="13" t="str" cm="1">
        <f t="array" ref="J99">_xlfn.IFS(I99=0, "Settled", I99&lt;=30, "1-30", I99&lt;=90, "31-90", I99&lt;=365, "91-365", I99&gt;365, "1 Year+")</f>
        <v>1 Year+</v>
      </c>
      <c r="K99" t="s">
        <v>819</v>
      </c>
      <c r="L99" s="3" cm="1">
        <f t="array" ref="L99">_xlfn.IFS(F99="AUD",E99*$V$2,F99="CAD",E99*$V$3,F99="EUR",E99*$V$4,F99="GBP",E99*$V$5,F99="USD",E99*$V$6)</f>
        <v>4027.6541999999999</v>
      </c>
      <c r="M99" s="3" cm="1">
        <f t="array" ref="M99">_xlfn.IFS(G99="Paid", L99, G99="Partial", L99*0.5, G99="Open", 0)</f>
        <v>0</v>
      </c>
      <c r="N99" s="3" cm="1">
        <f t="array" ref="N99">_xlfn.IFS(G99="Open", L99, G99="Partial", L99*0.5, G99="Paid", 0)</f>
        <v>4027.6541999999999</v>
      </c>
    </row>
    <row r="100" spans="1:14" x14ac:dyDescent="0.25">
      <c r="A100" t="s">
        <v>104</v>
      </c>
      <c r="B100" t="s">
        <v>809</v>
      </c>
      <c r="C100" s="5">
        <v>45568</v>
      </c>
      <c r="D100" s="5">
        <v>45598</v>
      </c>
      <c r="E100" s="3">
        <v>4508.92</v>
      </c>
      <c r="F100" t="s">
        <v>812</v>
      </c>
      <c r="G100" t="s">
        <v>818</v>
      </c>
      <c r="H100" s="5">
        <v>45598</v>
      </c>
      <c r="I100" s="7">
        <f t="shared" si="1"/>
        <v>0</v>
      </c>
      <c r="J100" s="13" t="str" cm="1">
        <f t="array" ref="J100">_xlfn.IFS(I100=0, "Settled", I100&lt;=30, "1-30", I100&lt;=90, "31-90", I100&lt;=365, "91-365", I100&gt;365, "1 Year+")</f>
        <v>Settled</v>
      </c>
      <c r="K100" t="s">
        <v>819</v>
      </c>
      <c r="L100" s="3" cm="1">
        <f t="array" ref="L100">_xlfn.IFS(F100="AUD",E100*$V$2,F100="CAD",E100*$V$3,F100="EUR",E100*$V$4,F100="GBP",E100*$V$5,F100="USD",E100*$V$6)</f>
        <v>6222.3095999999996</v>
      </c>
      <c r="M100" s="3" cm="1">
        <f t="array" ref="M100">_xlfn.IFS(G100="Paid", L100, G100="Partial", L100*0.5, G100="Open", 0)</f>
        <v>6222.3095999999996</v>
      </c>
      <c r="N100" s="3" cm="1">
        <f t="array" ref="N100">_xlfn.IFS(G100="Open", L100, G100="Partial", L100*0.5, G100="Paid", 0)</f>
        <v>0</v>
      </c>
    </row>
    <row r="101" spans="1:14" x14ac:dyDescent="0.25">
      <c r="A101" t="s">
        <v>105</v>
      </c>
      <c r="B101" t="s">
        <v>806</v>
      </c>
      <c r="C101" s="5">
        <v>45134</v>
      </c>
      <c r="D101" s="5">
        <v>45164</v>
      </c>
      <c r="E101" s="3">
        <v>3543.69</v>
      </c>
      <c r="F101" t="s">
        <v>811</v>
      </c>
      <c r="G101" t="s">
        <v>817</v>
      </c>
      <c r="H101" s="5" t="s">
        <v>825</v>
      </c>
      <c r="I101" s="7">
        <f t="shared" si="1"/>
        <v>942</v>
      </c>
      <c r="J101" s="13" t="str" cm="1">
        <f t="array" ref="J101">_xlfn.IFS(I101=0, "Settled", I101&lt;=30, "1-30", I101&lt;=90, "31-90", I101&lt;=365, "91-365", I101&gt;365, "1 Year+")</f>
        <v>1 Year+</v>
      </c>
      <c r="K101" t="s">
        <v>819</v>
      </c>
      <c r="L101" s="3" cm="1">
        <f t="array" ref="L101">_xlfn.IFS(F101="AUD",E101*$V$2,F101="CAD",E101*$V$3,F101="EUR",E101*$V$4,F101="GBP",E101*$V$5,F101="USD",E101*$V$6)</f>
        <v>3047.5734000000002</v>
      </c>
      <c r="M101" s="3" cm="1">
        <f t="array" ref="M101">_xlfn.IFS(G101="Paid", L101, G101="Partial", L101*0.5, G101="Open", 0)</f>
        <v>1523.7867000000001</v>
      </c>
      <c r="N101" s="3" cm="1">
        <f t="array" ref="N101">_xlfn.IFS(G101="Open", L101, G101="Partial", L101*0.5, G101="Paid", 0)</f>
        <v>1523.7867000000001</v>
      </c>
    </row>
    <row r="102" spans="1:14" x14ac:dyDescent="0.25">
      <c r="A102" t="s">
        <v>106</v>
      </c>
      <c r="B102" t="s">
        <v>809</v>
      </c>
      <c r="C102" s="5">
        <v>45554</v>
      </c>
      <c r="D102" s="5">
        <v>45584</v>
      </c>
      <c r="E102" s="3">
        <v>3606.75</v>
      </c>
      <c r="F102" t="s">
        <v>815</v>
      </c>
      <c r="G102" t="s">
        <v>816</v>
      </c>
      <c r="H102" s="5" t="s">
        <v>825</v>
      </c>
      <c r="I102" s="7">
        <f t="shared" si="1"/>
        <v>522</v>
      </c>
      <c r="J102" s="13" t="str" cm="1">
        <f t="array" ref="J102">_xlfn.IFS(I102=0, "Settled", I102&lt;=30, "1-30", I102&lt;=90, "31-90", I102&lt;=365, "91-365", I102&gt;365, "1 Year+")</f>
        <v>1 Year+</v>
      </c>
      <c r="K102" t="s">
        <v>819</v>
      </c>
      <c r="L102" s="3" cm="1">
        <f t="array" ref="L102">_xlfn.IFS(F102="AUD",E102*$V$2,F102="CAD",E102*$V$3,F102="EUR",E102*$V$4,F102="GBP",E102*$V$5,F102="USD",E102*$V$6)</f>
        <v>5229.7874999999995</v>
      </c>
      <c r="M102" s="3" cm="1">
        <f t="array" ref="M102">_xlfn.IFS(G102="Paid", L102, G102="Partial", L102*0.5, G102="Open", 0)</f>
        <v>0</v>
      </c>
      <c r="N102" s="3" cm="1">
        <f t="array" ref="N102">_xlfn.IFS(G102="Open", L102, G102="Partial", L102*0.5, G102="Paid", 0)</f>
        <v>5229.7874999999995</v>
      </c>
    </row>
    <row r="103" spans="1:14" x14ac:dyDescent="0.25">
      <c r="A103" t="s">
        <v>107</v>
      </c>
      <c r="B103" t="s">
        <v>809</v>
      </c>
      <c r="C103" s="5">
        <v>45838</v>
      </c>
      <c r="D103" s="5">
        <v>45868</v>
      </c>
      <c r="E103" s="3">
        <v>3518.19</v>
      </c>
      <c r="F103" t="s">
        <v>814</v>
      </c>
      <c r="G103" t="s">
        <v>817</v>
      </c>
      <c r="H103" s="5" t="s">
        <v>825</v>
      </c>
      <c r="I103" s="7">
        <f t="shared" si="1"/>
        <v>238</v>
      </c>
      <c r="J103" s="13" t="str" cm="1">
        <f t="array" ref="J103">_xlfn.IFS(I103=0, "Settled", I103&lt;=30, "1-30", I103&lt;=90, "31-90", I103&lt;=365, "91-365", I103&gt;365, "1 Year+")</f>
        <v>91-365</v>
      </c>
      <c r="K103" t="s">
        <v>819</v>
      </c>
      <c r="L103" s="3" cm="1">
        <f t="array" ref="L103">_xlfn.IFS(F103="AUD",E103*$V$2,F103="CAD",E103*$V$3,F103="EUR",E103*$V$4,F103="GBP",E103*$V$5,F103="USD",E103*$V$6)</f>
        <v>3518.19</v>
      </c>
      <c r="M103" s="3" cm="1">
        <f t="array" ref="M103">_xlfn.IFS(G103="Paid", L103, G103="Partial", L103*0.5, G103="Open", 0)</f>
        <v>1759.095</v>
      </c>
      <c r="N103" s="3" cm="1">
        <f t="array" ref="N103">_xlfn.IFS(G103="Open", L103, G103="Partial", L103*0.5, G103="Paid", 0)</f>
        <v>1759.095</v>
      </c>
    </row>
    <row r="104" spans="1:14" x14ac:dyDescent="0.25">
      <c r="A104" t="s">
        <v>108</v>
      </c>
      <c r="B104" t="s">
        <v>807</v>
      </c>
      <c r="C104" s="5">
        <v>45653</v>
      </c>
      <c r="D104" s="5">
        <v>45683</v>
      </c>
      <c r="E104" s="3">
        <v>4853.53</v>
      </c>
      <c r="F104" t="s">
        <v>812</v>
      </c>
      <c r="G104" t="s">
        <v>816</v>
      </c>
      <c r="H104" s="5" t="s">
        <v>825</v>
      </c>
      <c r="I104" s="7">
        <f t="shared" si="1"/>
        <v>423</v>
      </c>
      <c r="J104" s="13" t="str" cm="1">
        <f t="array" ref="J104">_xlfn.IFS(I104=0, "Settled", I104&lt;=30, "1-30", I104&lt;=90, "31-90", I104&lt;=365, "91-365", I104&gt;365, "1 Year+")</f>
        <v>1 Year+</v>
      </c>
      <c r="K104" t="s">
        <v>819</v>
      </c>
      <c r="L104" s="3" cm="1">
        <f t="array" ref="L104">_xlfn.IFS(F104="AUD",E104*$V$2,F104="CAD",E104*$V$3,F104="EUR",E104*$V$4,F104="GBP",E104*$V$5,F104="USD",E104*$V$6)</f>
        <v>6697.8713999999991</v>
      </c>
      <c r="M104" s="3" cm="1">
        <f t="array" ref="M104">_xlfn.IFS(G104="Paid", L104, G104="Partial", L104*0.5, G104="Open", 0)</f>
        <v>0</v>
      </c>
      <c r="N104" s="3" cm="1">
        <f t="array" ref="N104">_xlfn.IFS(G104="Open", L104, G104="Partial", L104*0.5, G104="Paid", 0)</f>
        <v>6697.8713999999991</v>
      </c>
    </row>
    <row r="105" spans="1:14" x14ac:dyDescent="0.25">
      <c r="A105" t="s">
        <v>109</v>
      </c>
      <c r="B105" t="s">
        <v>806</v>
      </c>
      <c r="C105" s="5">
        <v>45533</v>
      </c>
      <c r="D105" s="5">
        <v>45563</v>
      </c>
      <c r="E105" s="3">
        <v>4099.79</v>
      </c>
      <c r="F105" t="s">
        <v>811</v>
      </c>
      <c r="G105" t="s">
        <v>817</v>
      </c>
      <c r="H105" s="5" t="s">
        <v>825</v>
      </c>
      <c r="I105" s="7">
        <f t="shared" si="1"/>
        <v>543</v>
      </c>
      <c r="J105" s="13" t="str" cm="1">
        <f t="array" ref="J105">_xlfn.IFS(I105=0, "Settled", I105&lt;=30, "1-30", I105&lt;=90, "31-90", I105&lt;=365, "91-365", I105&gt;365, "1 Year+")</f>
        <v>1 Year+</v>
      </c>
      <c r="K105" t="s">
        <v>819</v>
      </c>
      <c r="L105" s="3" cm="1">
        <f t="array" ref="L105">_xlfn.IFS(F105="AUD",E105*$V$2,F105="CAD",E105*$V$3,F105="EUR",E105*$V$4,F105="GBP",E105*$V$5,F105="USD",E105*$V$6)</f>
        <v>3525.8193999999999</v>
      </c>
      <c r="M105" s="3" cm="1">
        <f t="array" ref="M105">_xlfn.IFS(G105="Paid", L105, G105="Partial", L105*0.5, G105="Open", 0)</f>
        <v>1762.9096999999999</v>
      </c>
      <c r="N105" s="3" cm="1">
        <f t="array" ref="N105">_xlfn.IFS(G105="Open", L105, G105="Partial", L105*0.5, G105="Paid", 0)</f>
        <v>1762.9096999999999</v>
      </c>
    </row>
    <row r="106" spans="1:14" x14ac:dyDescent="0.25">
      <c r="A106" t="s">
        <v>110</v>
      </c>
      <c r="B106" t="s">
        <v>806</v>
      </c>
      <c r="C106" s="5">
        <v>44958</v>
      </c>
      <c r="D106" s="5">
        <v>44988</v>
      </c>
      <c r="E106" s="3">
        <v>3167.66</v>
      </c>
      <c r="F106" t="s">
        <v>812</v>
      </c>
      <c r="G106" t="s">
        <v>818</v>
      </c>
      <c r="H106" s="5">
        <v>44988</v>
      </c>
      <c r="I106" s="7">
        <f t="shared" si="1"/>
        <v>0</v>
      </c>
      <c r="J106" s="13" t="str" cm="1">
        <f t="array" ref="J106">_xlfn.IFS(I106=0, "Settled", I106&lt;=30, "1-30", I106&lt;=90, "31-90", I106&lt;=365, "91-365", I106&gt;365, "1 Year+")</f>
        <v>Settled</v>
      </c>
      <c r="K106" t="s">
        <v>819</v>
      </c>
      <c r="L106" s="3" cm="1">
        <f t="array" ref="L106">_xlfn.IFS(F106="AUD",E106*$V$2,F106="CAD",E106*$V$3,F106="EUR",E106*$V$4,F106="GBP",E106*$V$5,F106="USD",E106*$V$6)</f>
        <v>4371.3707999999997</v>
      </c>
      <c r="M106" s="3" cm="1">
        <f t="array" ref="M106">_xlfn.IFS(G106="Paid", L106, G106="Partial", L106*0.5, G106="Open", 0)</f>
        <v>4371.3707999999997</v>
      </c>
      <c r="N106" s="3" cm="1">
        <f t="array" ref="N106">_xlfn.IFS(G106="Open", L106, G106="Partial", L106*0.5, G106="Paid", 0)</f>
        <v>0</v>
      </c>
    </row>
    <row r="107" spans="1:14" x14ac:dyDescent="0.25">
      <c r="A107" t="s">
        <v>111</v>
      </c>
      <c r="B107" t="s">
        <v>809</v>
      </c>
      <c r="C107" s="5">
        <v>45024</v>
      </c>
      <c r="D107" s="5">
        <v>45054</v>
      </c>
      <c r="E107" s="3">
        <v>4646.9799999999996</v>
      </c>
      <c r="F107" t="s">
        <v>811</v>
      </c>
      <c r="G107" t="s">
        <v>817</v>
      </c>
      <c r="H107" s="5" t="s">
        <v>825</v>
      </c>
      <c r="I107" s="7">
        <f t="shared" si="1"/>
        <v>1052</v>
      </c>
      <c r="J107" s="13" t="str" cm="1">
        <f t="array" ref="J107">_xlfn.IFS(I107=0, "Settled", I107&lt;=30, "1-30", I107&lt;=90, "31-90", I107&lt;=365, "91-365", I107&gt;365, "1 Year+")</f>
        <v>1 Year+</v>
      </c>
      <c r="K107" t="s">
        <v>819</v>
      </c>
      <c r="L107" s="3" cm="1">
        <f t="array" ref="L107">_xlfn.IFS(F107="AUD",E107*$V$2,F107="CAD",E107*$V$3,F107="EUR",E107*$V$4,F107="GBP",E107*$V$5,F107="USD",E107*$V$6)</f>
        <v>3996.4027999999994</v>
      </c>
      <c r="M107" s="3" cm="1">
        <f t="array" ref="M107">_xlfn.IFS(G107="Paid", L107, G107="Partial", L107*0.5, G107="Open", 0)</f>
        <v>1998.2013999999997</v>
      </c>
      <c r="N107" s="3" cm="1">
        <f t="array" ref="N107">_xlfn.IFS(G107="Open", L107, G107="Partial", L107*0.5, G107="Paid", 0)</f>
        <v>1998.2013999999997</v>
      </c>
    </row>
    <row r="108" spans="1:14" x14ac:dyDescent="0.25">
      <c r="A108" t="s">
        <v>112</v>
      </c>
      <c r="B108" t="s">
        <v>810</v>
      </c>
      <c r="C108" s="5">
        <v>45552</v>
      </c>
      <c r="D108" s="5">
        <v>45582</v>
      </c>
      <c r="E108" s="3">
        <v>4202.6099999999997</v>
      </c>
      <c r="F108" t="s">
        <v>813</v>
      </c>
      <c r="G108" t="s">
        <v>816</v>
      </c>
      <c r="H108" s="5" t="s">
        <v>825</v>
      </c>
      <c r="I108" s="7">
        <f t="shared" si="1"/>
        <v>524</v>
      </c>
      <c r="J108" s="13" t="str" cm="1">
        <f t="array" ref="J108">_xlfn.IFS(I108=0, "Settled", I108&lt;=30, "1-30", I108&lt;=90, "31-90", I108&lt;=365, "91-365", I108&gt;365, "1 Year+")</f>
        <v>1 Year+</v>
      </c>
      <c r="K108" t="s">
        <v>819</v>
      </c>
      <c r="L108" s="3" cm="1">
        <f t="array" ref="L108">_xlfn.IFS(F108="AUD",E108*$V$2,F108="CAD",E108*$V$3,F108="EUR",E108*$V$4,F108="GBP",E108*$V$5,F108="USD",E108*$V$6)</f>
        <v>3151.9574999999995</v>
      </c>
      <c r="M108" s="3" cm="1">
        <f t="array" ref="M108">_xlfn.IFS(G108="Paid", L108, G108="Partial", L108*0.5, G108="Open", 0)</f>
        <v>0</v>
      </c>
      <c r="N108" s="3" cm="1">
        <f t="array" ref="N108">_xlfn.IFS(G108="Open", L108, G108="Partial", L108*0.5, G108="Paid", 0)</f>
        <v>3151.9574999999995</v>
      </c>
    </row>
    <row r="109" spans="1:14" x14ac:dyDescent="0.25">
      <c r="A109" t="s">
        <v>113</v>
      </c>
      <c r="B109" t="s">
        <v>810</v>
      </c>
      <c r="C109" s="5">
        <v>45250</v>
      </c>
      <c r="D109" s="5">
        <v>45280</v>
      </c>
      <c r="E109" s="3">
        <v>1491.57</v>
      </c>
      <c r="F109" t="s">
        <v>811</v>
      </c>
      <c r="G109" t="s">
        <v>818</v>
      </c>
      <c r="H109" s="5">
        <v>45280</v>
      </c>
      <c r="I109" s="7">
        <f t="shared" si="1"/>
        <v>0</v>
      </c>
      <c r="J109" s="13" t="str" cm="1">
        <f t="array" ref="J109">_xlfn.IFS(I109=0, "Settled", I109&lt;=30, "1-30", I109&lt;=90, "31-90", I109&lt;=365, "91-365", I109&gt;365, "1 Year+")</f>
        <v>Settled</v>
      </c>
      <c r="K109" t="s">
        <v>819</v>
      </c>
      <c r="L109" s="3" cm="1">
        <f t="array" ref="L109">_xlfn.IFS(F109="AUD",E109*$V$2,F109="CAD",E109*$V$3,F109="EUR",E109*$V$4,F109="GBP",E109*$V$5,F109="USD",E109*$V$6)</f>
        <v>1282.7501999999999</v>
      </c>
      <c r="M109" s="3" cm="1">
        <f t="array" ref="M109">_xlfn.IFS(G109="Paid", L109, G109="Partial", L109*0.5, G109="Open", 0)</f>
        <v>1282.7501999999999</v>
      </c>
      <c r="N109" s="3" cm="1">
        <f t="array" ref="N109">_xlfn.IFS(G109="Open", L109, G109="Partial", L109*0.5, G109="Paid", 0)</f>
        <v>0</v>
      </c>
    </row>
    <row r="110" spans="1:14" x14ac:dyDescent="0.25">
      <c r="A110" t="s">
        <v>114</v>
      </c>
      <c r="B110" t="s">
        <v>806</v>
      </c>
      <c r="C110" s="5">
        <v>45339</v>
      </c>
      <c r="D110" s="5">
        <v>45369</v>
      </c>
      <c r="E110" s="3">
        <v>2302.71</v>
      </c>
      <c r="F110" t="s">
        <v>814</v>
      </c>
      <c r="G110" t="s">
        <v>818</v>
      </c>
      <c r="H110" s="5">
        <v>45369</v>
      </c>
      <c r="I110" s="7">
        <f t="shared" si="1"/>
        <v>0</v>
      </c>
      <c r="J110" s="13" t="str" cm="1">
        <f t="array" ref="J110">_xlfn.IFS(I110=0, "Settled", I110&lt;=30, "1-30", I110&lt;=90, "31-90", I110&lt;=365, "91-365", I110&gt;365, "1 Year+")</f>
        <v>Settled</v>
      </c>
      <c r="K110" t="s">
        <v>819</v>
      </c>
      <c r="L110" s="3" cm="1">
        <f t="array" ref="L110">_xlfn.IFS(F110="AUD",E110*$V$2,F110="CAD",E110*$V$3,F110="EUR",E110*$V$4,F110="GBP",E110*$V$5,F110="USD",E110*$V$6)</f>
        <v>2302.71</v>
      </c>
      <c r="M110" s="3" cm="1">
        <f t="array" ref="M110">_xlfn.IFS(G110="Paid", L110, G110="Partial", L110*0.5, G110="Open", 0)</f>
        <v>2302.71</v>
      </c>
      <c r="N110" s="3" cm="1">
        <f t="array" ref="N110">_xlfn.IFS(G110="Open", L110, G110="Partial", L110*0.5, G110="Paid", 0)</f>
        <v>0</v>
      </c>
    </row>
    <row r="111" spans="1:14" x14ac:dyDescent="0.25">
      <c r="A111" t="s">
        <v>115</v>
      </c>
      <c r="B111" t="s">
        <v>809</v>
      </c>
      <c r="C111" s="5">
        <v>45787</v>
      </c>
      <c r="D111" s="5">
        <v>45817</v>
      </c>
      <c r="E111" s="3">
        <v>222.31</v>
      </c>
      <c r="F111" t="s">
        <v>811</v>
      </c>
      <c r="G111" t="s">
        <v>817</v>
      </c>
      <c r="H111" s="5" t="s">
        <v>825</v>
      </c>
      <c r="I111" s="7">
        <f t="shared" si="1"/>
        <v>289</v>
      </c>
      <c r="J111" s="13" t="str" cm="1">
        <f t="array" ref="J111">_xlfn.IFS(I111=0, "Settled", I111&lt;=30, "1-30", I111&lt;=90, "31-90", I111&lt;=365, "91-365", I111&gt;365, "1 Year+")</f>
        <v>91-365</v>
      </c>
      <c r="K111" t="s">
        <v>819</v>
      </c>
      <c r="L111" s="3" cm="1">
        <f t="array" ref="L111">_xlfn.IFS(F111="AUD",E111*$V$2,F111="CAD",E111*$V$3,F111="EUR",E111*$V$4,F111="GBP",E111*$V$5,F111="USD",E111*$V$6)</f>
        <v>191.1866</v>
      </c>
      <c r="M111" s="3" cm="1">
        <f t="array" ref="M111">_xlfn.IFS(G111="Paid", L111, G111="Partial", L111*0.5, G111="Open", 0)</f>
        <v>95.593299999999999</v>
      </c>
      <c r="N111" s="3" cm="1">
        <f t="array" ref="N111">_xlfn.IFS(G111="Open", L111, G111="Partial", L111*0.5, G111="Paid", 0)</f>
        <v>95.593299999999999</v>
      </c>
    </row>
    <row r="112" spans="1:14" x14ac:dyDescent="0.25">
      <c r="A112" t="s">
        <v>116</v>
      </c>
      <c r="B112" t="s">
        <v>809</v>
      </c>
      <c r="C112" s="5">
        <v>45621</v>
      </c>
      <c r="D112" s="5">
        <v>45651</v>
      </c>
      <c r="E112" s="3">
        <v>1191.67</v>
      </c>
      <c r="F112" t="s">
        <v>813</v>
      </c>
      <c r="G112" t="s">
        <v>816</v>
      </c>
      <c r="H112" s="5" t="s">
        <v>825</v>
      </c>
      <c r="I112" s="7">
        <f t="shared" si="1"/>
        <v>455</v>
      </c>
      <c r="J112" s="13" t="str" cm="1">
        <f t="array" ref="J112">_xlfn.IFS(I112=0, "Settled", I112&lt;=30, "1-30", I112&lt;=90, "31-90", I112&lt;=365, "91-365", I112&gt;365, "1 Year+")</f>
        <v>1 Year+</v>
      </c>
      <c r="K112" t="s">
        <v>819</v>
      </c>
      <c r="L112" s="3" cm="1">
        <f t="array" ref="L112">_xlfn.IFS(F112="AUD",E112*$V$2,F112="CAD",E112*$V$3,F112="EUR",E112*$V$4,F112="GBP",E112*$V$5,F112="USD",E112*$V$6)</f>
        <v>893.75250000000005</v>
      </c>
      <c r="M112" s="3" cm="1">
        <f t="array" ref="M112">_xlfn.IFS(G112="Paid", L112, G112="Partial", L112*0.5, G112="Open", 0)</f>
        <v>0</v>
      </c>
      <c r="N112" s="3" cm="1">
        <f t="array" ref="N112">_xlfn.IFS(G112="Open", L112, G112="Partial", L112*0.5, G112="Paid", 0)</f>
        <v>893.75250000000005</v>
      </c>
    </row>
    <row r="113" spans="1:14" x14ac:dyDescent="0.25">
      <c r="A113" t="s">
        <v>117</v>
      </c>
      <c r="B113" t="s">
        <v>809</v>
      </c>
      <c r="C113" s="5">
        <v>45273</v>
      </c>
      <c r="D113" s="5">
        <v>45303</v>
      </c>
      <c r="E113" s="3">
        <v>3805.91</v>
      </c>
      <c r="F113" t="s">
        <v>812</v>
      </c>
      <c r="G113" t="s">
        <v>818</v>
      </c>
      <c r="H113" s="5">
        <v>45303</v>
      </c>
      <c r="I113" s="7">
        <f t="shared" si="1"/>
        <v>0</v>
      </c>
      <c r="J113" s="13" t="str" cm="1">
        <f t="array" ref="J113">_xlfn.IFS(I113=0, "Settled", I113&lt;=30, "1-30", I113&lt;=90, "31-90", I113&lt;=365, "91-365", I113&gt;365, "1 Year+")</f>
        <v>Settled</v>
      </c>
      <c r="K113" t="s">
        <v>819</v>
      </c>
      <c r="L113" s="3" cm="1">
        <f t="array" ref="L113">_xlfn.IFS(F113="AUD",E113*$V$2,F113="CAD",E113*$V$3,F113="EUR",E113*$V$4,F113="GBP",E113*$V$5,F113="USD",E113*$V$6)</f>
        <v>5252.1557999999995</v>
      </c>
      <c r="M113" s="3" cm="1">
        <f t="array" ref="M113">_xlfn.IFS(G113="Paid", L113, G113="Partial", L113*0.5, G113="Open", 0)</f>
        <v>5252.1557999999995</v>
      </c>
      <c r="N113" s="3" cm="1">
        <f t="array" ref="N113">_xlfn.IFS(G113="Open", L113, G113="Partial", L113*0.5, G113="Paid", 0)</f>
        <v>0</v>
      </c>
    </row>
    <row r="114" spans="1:14" x14ac:dyDescent="0.25">
      <c r="A114" t="s">
        <v>118</v>
      </c>
      <c r="B114" t="s">
        <v>810</v>
      </c>
      <c r="C114" s="5">
        <v>45028</v>
      </c>
      <c r="D114" s="5">
        <v>45058</v>
      </c>
      <c r="E114" s="3">
        <v>945.2</v>
      </c>
      <c r="F114" t="s">
        <v>814</v>
      </c>
      <c r="G114" t="s">
        <v>817</v>
      </c>
      <c r="H114" s="5" t="s">
        <v>825</v>
      </c>
      <c r="I114" s="7">
        <f t="shared" si="1"/>
        <v>1048</v>
      </c>
      <c r="J114" s="13" t="str" cm="1">
        <f t="array" ref="J114">_xlfn.IFS(I114=0, "Settled", I114&lt;=30, "1-30", I114&lt;=90, "31-90", I114&lt;=365, "91-365", I114&gt;365, "1 Year+")</f>
        <v>1 Year+</v>
      </c>
      <c r="K114" t="s">
        <v>819</v>
      </c>
      <c r="L114" s="3" cm="1">
        <f t="array" ref="L114">_xlfn.IFS(F114="AUD",E114*$V$2,F114="CAD",E114*$V$3,F114="EUR",E114*$V$4,F114="GBP",E114*$V$5,F114="USD",E114*$V$6)</f>
        <v>945.2</v>
      </c>
      <c r="M114" s="3" cm="1">
        <f t="array" ref="M114">_xlfn.IFS(G114="Paid", L114, G114="Partial", L114*0.5, G114="Open", 0)</f>
        <v>472.6</v>
      </c>
      <c r="N114" s="3" cm="1">
        <f t="array" ref="N114">_xlfn.IFS(G114="Open", L114, G114="Partial", L114*0.5, G114="Paid", 0)</f>
        <v>472.6</v>
      </c>
    </row>
    <row r="115" spans="1:14" x14ac:dyDescent="0.25">
      <c r="A115" t="s">
        <v>119</v>
      </c>
      <c r="B115" t="s">
        <v>809</v>
      </c>
      <c r="C115" s="5">
        <v>45311</v>
      </c>
      <c r="D115" s="5">
        <v>45341</v>
      </c>
      <c r="E115" s="3">
        <v>2517.4699999999998</v>
      </c>
      <c r="F115" t="s">
        <v>812</v>
      </c>
      <c r="G115" t="s">
        <v>817</v>
      </c>
      <c r="H115" s="5" t="s">
        <v>825</v>
      </c>
      <c r="I115" s="7">
        <f t="shared" si="1"/>
        <v>765</v>
      </c>
      <c r="J115" s="13" t="str" cm="1">
        <f t="array" ref="J115">_xlfn.IFS(I115=0, "Settled", I115&lt;=30, "1-30", I115&lt;=90, "31-90", I115&lt;=365, "91-365", I115&gt;365, "1 Year+")</f>
        <v>1 Year+</v>
      </c>
      <c r="K115" t="s">
        <v>819</v>
      </c>
      <c r="L115" s="3" cm="1">
        <f t="array" ref="L115">_xlfn.IFS(F115="AUD",E115*$V$2,F115="CAD",E115*$V$3,F115="EUR",E115*$V$4,F115="GBP",E115*$V$5,F115="USD",E115*$V$6)</f>
        <v>3474.1085999999996</v>
      </c>
      <c r="M115" s="3" cm="1">
        <f t="array" ref="M115">_xlfn.IFS(G115="Paid", L115, G115="Partial", L115*0.5, G115="Open", 0)</f>
        <v>1737.0542999999998</v>
      </c>
      <c r="N115" s="3" cm="1">
        <f t="array" ref="N115">_xlfn.IFS(G115="Open", L115, G115="Partial", L115*0.5, G115="Paid", 0)</f>
        <v>1737.0542999999998</v>
      </c>
    </row>
    <row r="116" spans="1:14" x14ac:dyDescent="0.25">
      <c r="A116" t="s">
        <v>120</v>
      </c>
      <c r="B116" t="s">
        <v>810</v>
      </c>
      <c r="C116" s="5">
        <v>45625</v>
      </c>
      <c r="D116" s="5">
        <v>45655</v>
      </c>
      <c r="E116" s="3">
        <v>4131.71</v>
      </c>
      <c r="F116" t="s">
        <v>814</v>
      </c>
      <c r="G116" t="s">
        <v>817</v>
      </c>
      <c r="H116" s="5" t="s">
        <v>825</v>
      </c>
      <c r="I116" s="7">
        <f t="shared" si="1"/>
        <v>451</v>
      </c>
      <c r="J116" s="13" t="str" cm="1">
        <f t="array" ref="J116">_xlfn.IFS(I116=0, "Settled", I116&lt;=30, "1-30", I116&lt;=90, "31-90", I116&lt;=365, "91-365", I116&gt;365, "1 Year+")</f>
        <v>1 Year+</v>
      </c>
      <c r="K116" t="s">
        <v>819</v>
      </c>
      <c r="L116" s="3" cm="1">
        <f t="array" ref="L116">_xlfn.IFS(F116="AUD",E116*$V$2,F116="CAD",E116*$V$3,F116="EUR",E116*$V$4,F116="GBP",E116*$V$5,F116="USD",E116*$V$6)</f>
        <v>4131.71</v>
      </c>
      <c r="M116" s="3" cm="1">
        <f t="array" ref="M116">_xlfn.IFS(G116="Paid", L116, G116="Partial", L116*0.5, G116="Open", 0)</f>
        <v>2065.855</v>
      </c>
      <c r="N116" s="3" cm="1">
        <f t="array" ref="N116">_xlfn.IFS(G116="Open", L116, G116="Partial", L116*0.5, G116="Paid", 0)</f>
        <v>2065.855</v>
      </c>
    </row>
    <row r="117" spans="1:14" x14ac:dyDescent="0.25">
      <c r="A117" t="s">
        <v>121</v>
      </c>
      <c r="B117" t="s">
        <v>810</v>
      </c>
      <c r="C117" s="5">
        <v>45370</v>
      </c>
      <c r="D117" s="5">
        <v>45400</v>
      </c>
      <c r="E117" s="3">
        <v>1116.42</v>
      </c>
      <c r="F117" t="s">
        <v>812</v>
      </c>
      <c r="G117" t="s">
        <v>816</v>
      </c>
      <c r="H117" s="5" t="s">
        <v>825</v>
      </c>
      <c r="I117" s="7">
        <f t="shared" si="1"/>
        <v>706</v>
      </c>
      <c r="J117" s="13" t="str" cm="1">
        <f t="array" ref="J117">_xlfn.IFS(I117=0, "Settled", I117&lt;=30, "1-30", I117&lt;=90, "31-90", I117&lt;=365, "91-365", I117&gt;365, "1 Year+")</f>
        <v>1 Year+</v>
      </c>
      <c r="K117" t="s">
        <v>819</v>
      </c>
      <c r="L117" s="3" cm="1">
        <f t="array" ref="L117">_xlfn.IFS(F117="AUD",E117*$V$2,F117="CAD",E117*$V$3,F117="EUR",E117*$V$4,F117="GBP",E117*$V$5,F117="USD",E117*$V$6)</f>
        <v>1540.6596</v>
      </c>
      <c r="M117" s="3" cm="1">
        <f t="array" ref="M117">_xlfn.IFS(G117="Paid", L117, G117="Partial", L117*0.5, G117="Open", 0)</f>
        <v>0</v>
      </c>
      <c r="N117" s="3" cm="1">
        <f t="array" ref="N117">_xlfn.IFS(G117="Open", L117, G117="Partial", L117*0.5, G117="Paid", 0)</f>
        <v>1540.6596</v>
      </c>
    </row>
    <row r="118" spans="1:14" x14ac:dyDescent="0.25">
      <c r="A118" t="s">
        <v>122</v>
      </c>
      <c r="B118" t="s">
        <v>810</v>
      </c>
      <c r="C118" s="5">
        <v>45193</v>
      </c>
      <c r="D118" s="5">
        <v>45223</v>
      </c>
      <c r="E118" s="3">
        <v>4575.2700000000004</v>
      </c>
      <c r="F118" t="s">
        <v>812</v>
      </c>
      <c r="G118" t="s">
        <v>816</v>
      </c>
      <c r="H118" s="5" t="s">
        <v>825</v>
      </c>
      <c r="I118" s="7">
        <f t="shared" si="1"/>
        <v>883</v>
      </c>
      <c r="J118" s="13" t="str" cm="1">
        <f t="array" ref="J118">_xlfn.IFS(I118=0, "Settled", I118&lt;=30, "1-30", I118&lt;=90, "31-90", I118&lt;=365, "91-365", I118&gt;365, "1 Year+")</f>
        <v>1 Year+</v>
      </c>
      <c r="K118" t="s">
        <v>819</v>
      </c>
      <c r="L118" s="3" cm="1">
        <f t="array" ref="L118">_xlfn.IFS(F118="AUD",E118*$V$2,F118="CAD",E118*$V$3,F118="EUR",E118*$V$4,F118="GBP",E118*$V$5,F118="USD",E118*$V$6)</f>
        <v>6313.8725999999997</v>
      </c>
      <c r="M118" s="3" cm="1">
        <f t="array" ref="M118">_xlfn.IFS(G118="Paid", L118, G118="Partial", L118*0.5, G118="Open", 0)</f>
        <v>0</v>
      </c>
      <c r="N118" s="3" cm="1">
        <f t="array" ref="N118">_xlfn.IFS(G118="Open", L118, G118="Partial", L118*0.5, G118="Paid", 0)</f>
        <v>6313.8725999999997</v>
      </c>
    </row>
    <row r="119" spans="1:14" x14ac:dyDescent="0.25">
      <c r="A119" t="s">
        <v>123</v>
      </c>
      <c r="B119" t="s">
        <v>810</v>
      </c>
      <c r="C119" s="5">
        <v>44973</v>
      </c>
      <c r="D119" s="5">
        <v>45003</v>
      </c>
      <c r="E119" s="3">
        <v>1514.17</v>
      </c>
      <c r="F119" t="s">
        <v>812</v>
      </c>
      <c r="G119" t="s">
        <v>816</v>
      </c>
      <c r="H119" s="5" t="s">
        <v>825</v>
      </c>
      <c r="I119" s="7">
        <f t="shared" si="1"/>
        <v>1103</v>
      </c>
      <c r="J119" s="13" t="str" cm="1">
        <f t="array" ref="J119">_xlfn.IFS(I119=0, "Settled", I119&lt;=30, "1-30", I119&lt;=90, "31-90", I119&lt;=365, "91-365", I119&gt;365, "1 Year+")</f>
        <v>1 Year+</v>
      </c>
      <c r="K119" t="s">
        <v>819</v>
      </c>
      <c r="L119" s="3" cm="1">
        <f t="array" ref="L119">_xlfn.IFS(F119="AUD",E119*$V$2,F119="CAD",E119*$V$3,F119="EUR",E119*$V$4,F119="GBP",E119*$V$5,F119="USD",E119*$V$6)</f>
        <v>2089.5545999999999</v>
      </c>
      <c r="M119" s="3" cm="1">
        <f t="array" ref="M119">_xlfn.IFS(G119="Paid", L119, G119="Partial", L119*0.5, G119="Open", 0)</f>
        <v>0</v>
      </c>
      <c r="N119" s="3" cm="1">
        <f t="array" ref="N119">_xlfn.IFS(G119="Open", L119, G119="Partial", L119*0.5, G119="Paid", 0)</f>
        <v>2089.5545999999999</v>
      </c>
    </row>
    <row r="120" spans="1:14" x14ac:dyDescent="0.25">
      <c r="A120" t="s">
        <v>124</v>
      </c>
      <c r="B120" t="s">
        <v>806</v>
      </c>
      <c r="C120" s="5">
        <v>45152</v>
      </c>
      <c r="D120" s="5">
        <v>45182</v>
      </c>
      <c r="E120" s="3">
        <v>4267.03</v>
      </c>
      <c r="F120" t="s">
        <v>812</v>
      </c>
      <c r="G120" t="s">
        <v>816</v>
      </c>
      <c r="H120" s="5" t="s">
        <v>825</v>
      </c>
      <c r="I120" s="7">
        <f t="shared" si="1"/>
        <v>924</v>
      </c>
      <c r="J120" s="13" t="str" cm="1">
        <f t="array" ref="J120">_xlfn.IFS(I120=0, "Settled", I120&lt;=30, "1-30", I120&lt;=90, "31-90", I120&lt;=365, "91-365", I120&gt;365, "1 Year+")</f>
        <v>1 Year+</v>
      </c>
      <c r="K120" t="s">
        <v>819</v>
      </c>
      <c r="L120" s="3" cm="1">
        <f t="array" ref="L120">_xlfn.IFS(F120="AUD",E120*$V$2,F120="CAD",E120*$V$3,F120="EUR",E120*$V$4,F120="GBP",E120*$V$5,F120="USD",E120*$V$6)</f>
        <v>5888.5013999999992</v>
      </c>
      <c r="M120" s="3" cm="1">
        <f t="array" ref="M120">_xlfn.IFS(G120="Paid", L120, G120="Partial", L120*0.5, G120="Open", 0)</f>
        <v>0</v>
      </c>
      <c r="N120" s="3" cm="1">
        <f t="array" ref="N120">_xlfn.IFS(G120="Open", L120, G120="Partial", L120*0.5, G120="Paid", 0)</f>
        <v>5888.5013999999992</v>
      </c>
    </row>
    <row r="121" spans="1:14" x14ac:dyDescent="0.25">
      <c r="A121" t="s">
        <v>125</v>
      </c>
      <c r="B121" t="s">
        <v>807</v>
      </c>
      <c r="C121" s="5">
        <v>45685</v>
      </c>
      <c r="D121" s="5">
        <v>45715</v>
      </c>
      <c r="E121" s="3">
        <v>4482.04</v>
      </c>
      <c r="F121" t="s">
        <v>813</v>
      </c>
      <c r="G121" t="s">
        <v>817</v>
      </c>
      <c r="H121" s="5" t="s">
        <v>825</v>
      </c>
      <c r="I121" s="7">
        <f t="shared" si="1"/>
        <v>391</v>
      </c>
      <c r="J121" s="13" t="str" cm="1">
        <f t="array" ref="J121">_xlfn.IFS(I121=0, "Settled", I121&lt;=30, "1-30", I121&lt;=90, "31-90", I121&lt;=365, "91-365", I121&gt;365, "1 Year+")</f>
        <v>1 Year+</v>
      </c>
      <c r="K121" t="s">
        <v>819</v>
      </c>
      <c r="L121" s="3" cm="1">
        <f t="array" ref="L121">_xlfn.IFS(F121="AUD",E121*$V$2,F121="CAD",E121*$V$3,F121="EUR",E121*$V$4,F121="GBP",E121*$V$5,F121="USD",E121*$V$6)</f>
        <v>3361.5299999999997</v>
      </c>
      <c r="M121" s="3" cm="1">
        <f t="array" ref="M121">_xlfn.IFS(G121="Paid", L121, G121="Partial", L121*0.5, G121="Open", 0)</f>
        <v>1680.7649999999999</v>
      </c>
      <c r="N121" s="3" cm="1">
        <f t="array" ref="N121">_xlfn.IFS(G121="Open", L121, G121="Partial", L121*0.5, G121="Paid", 0)</f>
        <v>1680.7649999999999</v>
      </c>
    </row>
    <row r="122" spans="1:14" x14ac:dyDescent="0.25">
      <c r="A122" t="s">
        <v>126</v>
      </c>
      <c r="B122" t="s">
        <v>810</v>
      </c>
      <c r="C122" s="5">
        <v>45412</v>
      </c>
      <c r="D122" s="5">
        <v>45442</v>
      </c>
      <c r="E122" s="3">
        <v>1407.76</v>
      </c>
      <c r="F122" t="s">
        <v>813</v>
      </c>
      <c r="G122" t="s">
        <v>818</v>
      </c>
      <c r="H122" s="5">
        <v>45442</v>
      </c>
      <c r="I122" s="7">
        <f t="shared" si="1"/>
        <v>0</v>
      </c>
      <c r="J122" s="13" t="str" cm="1">
        <f t="array" ref="J122">_xlfn.IFS(I122=0, "Settled", I122&lt;=30, "1-30", I122&lt;=90, "31-90", I122&lt;=365, "91-365", I122&gt;365, "1 Year+")</f>
        <v>Settled</v>
      </c>
      <c r="K122" t="s">
        <v>819</v>
      </c>
      <c r="L122" s="3" cm="1">
        <f t="array" ref="L122">_xlfn.IFS(F122="AUD",E122*$V$2,F122="CAD",E122*$V$3,F122="EUR",E122*$V$4,F122="GBP",E122*$V$5,F122="USD",E122*$V$6)</f>
        <v>1055.82</v>
      </c>
      <c r="M122" s="3" cm="1">
        <f t="array" ref="M122">_xlfn.IFS(G122="Paid", L122, G122="Partial", L122*0.5, G122="Open", 0)</f>
        <v>1055.82</v>
      </c>
      <c r="N122" s="3" cm="1">
        <f t="array" ref="N122">_xlfn.IFS(G122="Open", L122, G122="Partial", L122*0.5, G122="Paid", 0)</f>
        <v>0</v>
      </c>
    </row>
    <row r="123" spans="1:14" x14ac:dyDescent="0.25">
      <c r="A123" t="s">
        <v>127</v>
      </c>
      <c r="B123" t="s">
        <v>808</v>
      </c>
      <c r="C123" s="5">
        <v>45253</v>
      </c>
      <c r="D123" s="5">
        <v>45283</v>
      </c>
      <c r="E123" s="3">
        <v>2739.91</v>
      </c>
      <c r="F123" t="s">
        <v>811</v>
      </c>
      <c r="G123" t="s">
        <v>816</v>
      </c>
      <c r="H123" s="5" t="s">
        <v>825</v>
      </c>
      <c r="I123" s="7">
        <f t="shared" si="1"/>
        <v>823</v>
      </c>
      <c r="J123" s="13" t="str" cm="1">
        <f t="array" ref="J123">_xlfn.IFS(I123=0, "Settled", I123&lt;=30, "1-30", I123&lt;=90, "31-90", I123&lt;=365, "91-365", I123&gt;365, "1 Year+")</f>
        <v>1 Year+</v>
      </c>
      <c r="K123" t="s">
        <v>819</v>
      </c>
      <c r="L123" s="3" cm="1">
        <f t="array" ref="L123">_xlfn.IFS(F123="AUD",E123*$V$2,F123="CAD",E123*$V$3,F123="EUR",E123*$V$4,F123="GBP",E123*$V$5,F123="USD",E123*$V$6)</f>
        <v>2356.3226</v>
      </c>
      <c r="M123" s="3" cm="1">
        <f t="array" ref="M123">_xlfn.IFS(G123="Paid", L123, G123="Partial", L123*0.5, G123="Open", 0)</f>
        <v>0</v>
      </c>
      <c r="N123" s="3" cm="1">
        <f t="array" ref="N123">_xlfn.IFS(G123="Open", L123, G123="Partial", L123*0.5, G123="Paid", 0)</f>
        <v>2356.3226</v>
      </c>
    </row>
    <row r="124" spans="1:14" x14ac:dyDescent="0.25">
      <c r="A124" t="s">
        <v>128</v>
      </c>
      <c r="B124" t="s">
        <v>806</v>
      </c>
      <c r="C124" s="5">
        <v>45729</v>
      </c>
      <c r="D124" s="5">
        <v>45759</v>
      </c>
      <c r="E124" s="3">
        <v>2094.14</v>
      </c>
      <c r="F124" t="s">
        <v>813</v>
      </c>
      <c r="G124" t="s">
        <v>817</v>
      </c>
      <c r="H124" s="5" t="s">
        <v>825</v>
      </c>
      <c r="I124" s="7">
        <f t="shared" si="1"/>
        <v>347</v>
      </c>
      <c r="J124" s="13" t="str" cm="1">
        <f t="array" ref="J124">_xlfn.IFS(I124=0, "Settled", I124&lt;=30, "1-30", I124&lt;=90, "31-90", I124&lt;=365, "91-365", I124&gt;365, "1 Year+")</f>
        <v>91-365</v>
      </c>
      <c r="K124" t="s">
        <v>819</v>
      </c>
      <c r="L124" s="3" cm="1">
        <f t="array" ref="L124">_xlfn.IFS(F124="AUD",E124*$V$2,F124="CAD",E124*$V$3,F124="EUR",E124*$V$4,F124="GBP",E124*$V$5,F124="USD",E124*$V$6)</f>
        <v>1570.605</v>
      </c>
      <c r="M124" s="3" cm="1">
        <f t="array" ref="M124">_xlfn.IFS(G124="Paid", L124, G124="Partial", L124*0.5, G124="Open", 0)</f>
        <v>785.30250000000001</v>
      </c>
      <c r="N124" s="3" cm="1">
        <f t="array" ref="N124">_xlfn.IFS(G124="Open", L124, G124="Partial", L124*0.5, G124="Paid", 0)</f>
        <v>785.30250000000001</v>
      </c>
    </row>
    <row r="125" spans="1:14" x14ac:dyDescent="0.25">
      <c r="A125" t="s">
        <v>129</v>
      </c>
      <c r="B125" t="s">
        <v>810</v>
      </c>
      <c r="C125" s="5">
        <v>45647</v>
      </c>
      <c r="D125" s="5">
        <v>45677</v>
      </c>
      <c r="E125" s="3">
        <v>1636.17</v>
      </c>
      <c r="F125" t="s">
        <v>813</v>
      </c>
      <c r="G125" t="s">
        <v>816</v>
      </c>
      <c r="H125" s="5" t="s">
        <v>825</v>
      </c>
      <c r="I125" s="7">
        <f t="shared" si="1"/>
        <v>429</v>
      </c>
      <c r="J125" s="13" t="str" cm="1">
        <f t="array" ref="J125">_xlfn.IFS(I125=0, "Settled", I125&lt;=30, "1-30", I125&lt;=90, "31-90", I125&lt;=365, "91-365", I125&gt;365, "1 Year+")</f>
        <v>1 Year+</v>
      </c>
      <c r="K125" t="s">
        <v>819</v>
      </c>
      <c r="L125" s="3" cm="1">
        <f t="array" ref="L125">_xlfn.IFS(F125="AUD",E125*$V$2,F125="CAD",E125*$V$3,F125="EUR",E125*$V$4,F125="GBP",E125*$V$5,F125="USD",E125*$V$6)</f>
        <v>1227.1275000000001</v>
      </c>
      <c r="M125" s="3" cm="1">
        <f t="array" ref="M125">_xlfn.IFS(G125="Paid", L125, G125="Partial", L125*0.5, G125="Open", 0)</f>
        <v>0</v>
      </c>
      <c r="N125" s="3" cm="1">
        <f t="array" ref="N125">_xlfn.IFS(G125="Open", L125, G125="Partial", L125*0.5, G125="Paid", 0)</f>
        <v>1227.1275000000001</v>
      </c>
    </row>
    <row r="126" spans="1:14" x14ac:dyDescent="0.25">
      <c r="A126" t="s">
        <v>130</v>
      </c>
      <c r="B126" t="s">
        <v>807</v>
      </c>
      <c r="C126" s="5">
        <v>45204</v>
      </c>
      <c r="D126" s="5">
        <v>45234</v>
      </c>
      <c r="E126" s="3">
        <v>1052.47</v>
      </c>
      <c r="F126" t="s">
        <v>815</v>
      </c>
      <c r="G126" t="s">
        <v>817</v>
      </c>
      <c r="H126" s="5" t="s">
        <v>825</v>
      </c>
      <c r="I126" s="7">
        <f t="shared" si="1"/>
        <v>872</v>
      </c>
      <c r="J126" s="13" t="str" cm="1">
        <f t="array" ref="J126">_xlfn.IFS(I126=0, "Settled", I126&lt;=30, "1-30", I126&lt;=90, "31-90", I126&lt;=365, "91-365", I126&gt;365, "1 Year+")</f>
        <v>1 Year+</v>
      </c>
      <c r="K126" t="s">
        <v>819</v>
      </c>
      <c r="L126" s="3" cm="1">
        <f t="array" ref="L126">_xlfn.IFS(F126="AUD",E126*$V$2,F126="CAD",E126*$V$3,F126="EUR",E126*$V$4,F126="GBP",E126*$V$5,F126="USD",E126*$V$6)</f>
        <v>1526.0815</v>
      </c>
      <c r="M126" s="3" cm="1">
        <f t="array" ref="M126">_xlfn.IFS(G126="Paid", L126, G126="Partial", L126*0.5, G126="Open", 0)</f>
        <v>763.04075</v>
      </c>
      <c r="N126" s="3" cm="1">
        <f t="array" ref="N126">_xlfn.IFS(G126="Open", L126, G126="Partial", L126*0.5, G126="Paid", 0)</f>
        <v>763.04075</v>
      </c>
    </row>
    <row r="127" spans="1:14" x14ac:dyDescent="0.25">
      <c r="A127" t="s">
        <v>131</v>
      </c>
      <c r="B127" t="s">
        <v>807</v>
      </c>
      <c r="C127" s="5">
        <v>45186</v>
      </c>
      <c r="D127" s="5">
        <v>45216</v>
      </c>
      <c r="E127" s="3">
        <v>4195.09</v>
      </c>
      <c r="F127" t="s">
        <v>815</v>
      </c>
      <c r="G127" t="s">
        <v>816</v>
      </c>
      <c r="H127" s="5" t="s">
        <v>825</v>
      </c>
      <c r="I127" s="7">
        <f t="shared" si="1"/>
        <v>890</v>
      </c>
      <c r="J127" s="13" t="str" cm="1">
        <f t="array" ref="J127">_xlfn.IFS(I127=0, "Settled", I127&lt;=30, "1-30", I127&lt;=90, "31-90", I127&lt;=365, "91-365", I127&gt;365, "1 Year+")</f>
        <v>1 Year+</v>
      </c>
      <c r="K127" t="s">
        <v>819</v>
      </c>
      <c r="L127" s="3" cm="1">
        <f t="array" ref="L127">_xlfn.IFS(F127="AUD",E127*$V$2,F127="CAD",E127*$V$3,F127="EUR",E127*$V$4,F127="GBP",E127*$V$5,F127="USD",E127*$V$6)</f>
        <v>6082.8805000000002</v>
      </c>
      <c r="M127" s="3" cm="1">
        <f t="array" ref="M127">_xlfn.IFS(G127="Paid", L127, G127="Partial", L127*0.5, G127="Open", 0)</f>
        <v>0</v>
      </c>
      <c r="N127" s="3" cm="1">
        <f t="array" ref="N127">_xlfn.IFS(G127="Open", L127, G127="Partial", L127*0.5, G127="Paid", 0)</f>
        <v>6082.8805000000002</v>
      </c>
    </row>
    <row r="128" spans="1:14" x14ac:dyDescent="0.25">
      <c r="A128" t="s">
        <v>132</v>
      </c>
      <c r="B128" t="s">
        <v>808</v>
      </c>
      <c r="C128" s="5">
        <v>44940</v>
      </c>
      <c r="D128" s="5">
        <v>44970</v>
      </c>
      <c r="E128" s="3">
        <v>2545.81</v>
      </c>
      <c r="F128" t="s">
        <v>814</v>
      </c>
      <c r="G128" t="s">
        <v>817</v>
      </c>
      <c r="H128" s="5" t="s">
        <v>825</v>
      </c>
      <c r="I128" s="7">
        <f t="shared" si="1"/>
        <v>1136</v>
      </c>
      <c r="J128" s="13" t="str" cm="1">
        <f t="array" ref="J128">_xlfn.IFS(I128=0, "Settled", I128&lt;=30, "1-30", I128&lt;=90, "31-90", I128&lt;=365, "91-365", I128&gt;365, "1 Year+")</f>
        <v>1 Year+</v>
      </c>
      <c r="K128" t="s">
        <v>819</v>
      </c>
      <c r="L128" s="3" cm="1">
        <f t="array" ref="L128">_xlfn.IFS(F128="AUD",E128*$V$2,F128="CAD",E128*$V$3,F128="EUR",E128*$V$4,F128="GBP",E128*$V$5,F128="USD",E128*$V$6)</f>
        <v>2545.81</v>
      </c>
      <c r="M128" s="3" cm="1">
        <f t="array" ref="M128">_xlfn.IFS(G128="Paid", L128, G128="Partial", L128*0.5, G128="Open", 0)</f>
        <v>1272.905</v>
      </c>
      <c r="N128" s="3" cm="1">
        <f t="array" ref="N128">_xlfn.IFS(G128="Open", L128, G128="Partial", L128*0.5, G128="Paid", 0)</f>
        <v>1272.905</v>
      </c>
    </row>
    <row r="129" spans="1:14" x14ac:dyDescent="0.25">
      <c r="A129" t="s">
        <v>133</v>
      </c>
      <c r="B129" t="s">
        <v>809</v>
      </c>
      <c r="C129" s="5">
        <v>45396</v>
      </c>
      <c r="D129" s="5">
        <v>45426</v>
      </c>
      <c r="E129" s="3">
        <v>993.34</v>
      </c>
      <c r="F129" t="s">
        <v>815</v>
      </c>
      <c r="G129" t="s">
        <v>817</v>
      </c>
      <c r="H129" s="5" t="s">
        <v>825</v>
      </c>
      <c r="I129" s="7">
        <f t="shared" si="1"/>
        <v>680</v>
      </c>
      <c r="J129" s="13" t="str" cm="1">
        <f t="array" ref="J129">_xlfn.IFS(I129=0, "Settled", I129&lt;=30, "1-30", I129&lt;=90, "31-90", I129&lt;=365, "91-365", I129&gt;365, "1 Year+")</f>
        <v>1 Year+</v>
      </c>
      <c r="K129" t="s">
        <v>819</v>
      </c>
      <c r="L129" s="3" cm="1">
        <f t="array" ref="L129">_xlfn.IFS(F129="AUD",E129*$V$2,F129="CAD",E129*$V$3,F129="EUR",E129*$V$4,F129="GBP",E129*$V$5,F129="USD",E129*$V$6)</f>
        <v>1440.3430000000001</v>
      </c>
      <c r="M129" s="3" cm="1">
        <f t="array" ref="M129">_xlfn.IFS(G129="Paid", L129, G129="Partial", L129*0.5, G129="Open", 0)</f>
        <v>720.17150000000004</v>
      </c>
      <c r="N129" s="3" cm="1">
        <f t="array" ref="N129">_xlfn.IFS(G129="Open", L129, G129="Partial", L129*0.5, G129="Paid", 0)</f>
        <v>720.17150000000004</v>
      </c>
    </row>
    <row r="130" spans="1:14" x14ac:dyDescent="0.25">
      <c r="A130" t="s">
        <v>134</v>
      </c>
      <c r="B130" t="s">
        <v>809</v>
      </c>
      <c r="C130" s="5">
        <v>45091</v>
      </c>
      <c r="D130" s="5">
        <v>45121</v>
      </c>
      <c r="E130" s="3">
        <v>834.51</v>
      </c>
      <c r="F130" t="s">
        <v>813</v>
      </c>
      <c r="G130" t="s">
        <v>817</v>
      </c>
      <c r="H130" s="5" t="s">
        <v>825</v>
      </c>
      <c r="I130" s="7">
        <f t="shared" si="1"/>
        <v>985</v>
      </c>
      <c r="J130" s="13" t="str" cm="1">
        <f t="array" ref="J130">_xlfn.IFS(I130=0, "Settled", I130&lt;=30, "1-30", I130&lt;=90, "31-90", I130&lt;=365, "91-365", I130&gt;365, "1 Year+")</f>
        <v>1 Year+</v>
      </c>
      <c r="K130" t="s">
        <v>819</v>
      </c>
      <c r="L130" s="3" cm="1">
        <f t="array" ref="L130">_xlfn.IFS(F130="AUD",E130*$V$2,F130="CAD",E130*$V$3,F130="EUR",E130*$V$4,F130="GBP",E130*$V$5,F130="USD",E130*$V$6)</f>
        <v>625.88249999999994</v>
      </c>
      <c r="M130" s="3" cm="1">
        <f t="array" ref="M130">_xlfn.IFS(G130="Paid", L130, G130="Partial", L130*0.5, G130="Open", 0)</f>
        <v>312.94124999999997</v>
      </c>
      <c r="N130" s="3" cm="1">
        <f t="array" ref="N130">_xlfn.IFS(G130="Open", L130, G130="Partial", L130*0.5, G130="Paid", 0)</f>
        <v>312.94124999999997</v>
      </c>
    </row>
    <row r="131" spans="1:14" x14ac:dyDescent="0.25">
      <c r="A131" t="s">
        <v>135</v>
      </c>
      <c r="B131" t="s">
        <v>809</v>
      </c>
      <c r="C131" s="5">
        <v>45286</v>
      </c>
      <c r="D131" s="5">
        <v>45316</v>
      </c>
      <c r="E131" s="3">
        <v>2107.58</v>
      </c>
      <c r="F131" t="s">
        <v>814</v>
      </c>
      <c r="G131" t="s">
        <v>817</v>
      </c>
      <c r="H131" s="5" t="s">
        <v>825</v>
      </c>
      <c r="I131" s="7">
        <f t="shared" ref="I131:I194" si="2">IF(G131="Paid",0,DATE(2026,3,25)-D131)</f>
        <v>790</v>
      </c>
      <c r="J131" s="13" t="str" cm="1">
        <f t="array" ref="J131">_xlfn.IFS(I131=0, "Settled", I131&lt;=30, "1-30", I131&lt;=90, "31-90", I131&lt;=365, "91-365", I131&gt;365, "1 Year+")</f>
        <v>1 Year+</v>
      </c>
      <c r="K131" t="s">
        <v>819</v>
      </c>
      <c r="L131" s="3" cm="1">
        <f t="array" ref="L131">_xlfn.IFS(F131="AUD",E131*$V$2,F131="CAD",E131*$V$3,F131="EUR",E131*$V$4,F131="GBP",E131*$V$5,F131="USD",E131*$V$6)</f>
        <v>2107.58</v>
      </c>
      <c r="M131" s="3" cm="1">
        <f t="array" ref="M131">_xlfn.IFS(G131="Paid", L131, G131="Partial", L131*0.5, G131="Open", 0)</f>
        <v>1053.79</v>
      </c>
      <c r="N131" s="3" cm="1">
        <f t="array" ref="N131">_xlfn.IFS(G131="Open", L131, G131="Partial", L131*0.5, G131="Paid", 0)</f>
        <v>1053.79</v>
      </c>
    </row>
    <row r="132" spans="1:14" x14ac:dyDescent="0.25">
      <c r="A132" t="s">
        <v>136</v>
      </c>
      <c r="B132" t="s">
        <v>810</v>
      </c>
      <c r="C132" s="5">
        <v>45782</v>
      </c>
      <c r="D132" s="5">
        <v>45812</v>
      </c>
      <c r="E132" s="3">
        <v>1874.69</v>
      </c>
      <c r="F132" t="s">
        <v>814</v>
      </c>
      <c r="G132" t="s">
        <v>816</v>
      </c>
      <c r="H132" s="5" t="s">
        <v>825</v>
      </c>
      <c r="I132" s="7">
        <f t="shared" si="2"/>
        <v>294</v>
      </c>
      <c r="J132" s="13" t="str" cm="1">
        <f t="array" ref="J132">_xlfn.IFS(I132=0, "Settled", I132&lt;=30, "1-30", I132&lt;=90, "31-90", I132&lt;=365, "91-365", I132&gt;365, "1 Year+")</f>
        <v>91-365</v>
      </c>
      <c r="K132" t="s">
        <v>819</v>
      </c>
      <c r="L132" s="3" cm="1">
        <f t="array" ref="L132">_xlfn.IFS(F132="AUD",E132*$V$2,F132="CAD",E132*$V$3,F132="EUR",E132*$V$4,F132="GBP",E132*$V$5,F132="USD",E132*$V$6)</f>
        <v>1874.69</v>
      </c>
      <c r="M132" s="3" cm="1">
        <f t="array" ref="M132">_xlfn.IFS(G132="Paid", L132, G132="Partial", L132*0.5, G132="Open", 0)</f>
        <v>0</v>
      </c>
      <c r="N132" s="3" cm="1">
        <f t="array" ref="N132">_xlfn.IFS(G132="Open", L132, G132="Partial", L132*0.5, G132="Paid", 0)</f>
        <v>1874.69</v>
      </c>
    </row>
    <row r="133" spans="1:14" x14ac:dyDescent="0.25">
      <c r="A133" t="s">
        <v>137</v>
      </c>
      <c r="B133" t="s">
        <v>809</v>
      </c>
      <c r="C133" s="5">
        <v>45471</v>
      </c>
      <c r="D133" s="5">
        <v>45501</v>
      </c>
      <c r="E133" s="3">
        <v>4388.51</v>
      </c>
      <c r="F133" t="s">
        <v>811</v>
      </c>
      <c r="G133" t="s">
        <v>818</v>
      </c>
      <c r="H133" s="5">
        <v>45501</v>
      </c>
      <c r="I133" s="7">
        <f t="shared" si="2"/>
        <v>0</v>
      </c>
      <c r="J133" s="13" t="str" cm="1">
        <f t="array" ref="J133">_xlfn.IFS(I133=0, "Settled", I133&lt;=30, "1-30", I133&lt;=90, "31-90", I133&lt;=365, "91-365", I133&gt;365, "1 Year+")</f>
        <v>Settled</v>
      </c>
      <c r="K133" t="s">
        <v>819</v>
      </c>
      <c r="L133" s="3" cm="1">
        <f t="array" ref="L133">_xlfn.IFS(F133="AUD",E133*$V$2,F133="CAD",E133*$V$3,F133="EUR",E133*$V$4,F133="GBP",E133*$V$5,F133="USD",E133*$V$6)</f>
        <v>3774.1186000000002</v>
      </c>
      <c r="M133" s="3" cm="1">
        <f t="array" ref="M133">_xlfn.IFS(G133="Paid", L133, G133="Partial", L133*0.5, G133="Open", 0)</f>
        <v>3774.1186000000002</v>
      </c>
      <c r="N133" s="3" cm="1">
        <f t="array" ref="N133">_xlfn.IFS(G133="Open", L133, G133="Partial", L133*0.5, G133="Paid", 0)</f>
        <v>0</v>
      </c>
    </row>
    <row r="134" spans="1:14" x14ac:dyDescent="0.25">
      <c r="A134" t="s">
        <v>138</v>
      </c>
      <c r="B134" t="s">
        <v>807</v>
      </c>
      <c r="C134" s="5">
        <v>45365</v>
      </c>
      <c r="D134" s="5">
        <v>45395</v>
      </c>
      <c r="E134" s="3">
        <v>125.24</v>
      </c>
      <c r="F134" t="s">
        <v>812</v>
      </c>
      <c r="G134" t="s">
        <v>817</v>
      </c>
      <c r="H134" s="5" t="s">
        <v>825</v>
      </c>
      <c r="I134" s="7">
        <f t="shared" si="2"/>
        <v>711</v>
      </c>
      <c r="J134" s="13" t="str" cm="1">
        <f t="array" ref="J134">_xlfn.IFS(I134=0, "Settled", I134&lt;=30, "1-30", I134&lt;=90, "31-90", I134&lt;=365, "91-365", I134&gt;365, "1 Year+")</f>
        <v>1 Year+</v>
      </c>
      <c r="K134" t="s">
        <v>819</v>
      </c>
      <c r="L134" s="3" cm="1">
        <f t="array" ref="L134">_xlfn.IFS(F134="AUD",E134*$V$2,F134="CAD",E134*$V$3,F134="EUR",E134*$V$4,F134="GBP",E134*$V$5,F134="USD",E134*$V$6)</f>
        <v>172.83119999999997</v>
      </c>
      <c r="M134" s="3" cm="1">
        <f t="array" ref="M134">_xlfn.IFS(G134="Paid", L134, G134="Partial", L134*0.5, G134="Open", 0)</f>
        <v>86.415599999999984</v>
      </c>
      <c r="N134" s="3" cm="1">
        <f t="array" ref="N134">_xlfn.IFS(G134="Open", L134, G134="Partial", L134*0.5, G134="Paid", 0)</f>
        <v>86.415599999999984</v>
      </c>
    </row>
    <row r="135" spans="1:14" x14ac:dyDescent="0.25">
      <c r="A135" t="s">
        <v>139</v>
      </c>
      <c r="B135" t="s">
        <v>808</v>
      </c>
      <c r="C135" s="5">
        <v>45392</v>
      </c>
      <c r="D135" s="5">
        <v>45422</v>
      </c>
      <c r="E135" s="3">
        <v>1249.8900000000001</v>
      </c>
      <c r="F135" t="s">
        <v>815</v>
      </c>
      <c r="G135" t="s">
        <v>816</v>
      </c>
      <c r="H135" s="5" t="s">
        <v>825</v>
      </c>
      <c r="I135" s="7">
        <f t="shared" si="2"/>
        <v>684</v>
      </c>
      <c r="J135" s="13" t="str" cm="1">
        <f t="array" ref="J135">_xlfn.IFS(I135=0, "Settled", I135&lt;=30, "1-30", I135&lt;=90, "31-90", I135&lt;=365, "91-365", I135&gt;365, "1 Year+")</f>
        <v>1 Year+</v>
      </c>
      <c r="K135" t="s">
        <v>819</v>
      </c>
      <c r="L135" s="3" cm="1">
        <f t="array" ref="L135">_xlfn.IFS(F135="AUD",E135*$V$2,F135="CAD",E135*$V$3,F135="EUR",E135*$V$4,F135="GBP",E135*$V$5,F135="USD",E135*$V$6)</f>
        <v>1812.3405</v>
      </c>
      <c r="M135" s="3" cm="1">
        <f t="array" ref="M135">_xlfn.IFS(G135="Paid", L135, G135="Partial", L135*0.5, G135="Open", 0)</f>
        <v>0</v>
      </c>
      <c r="N135" s="3" cm="1">
        <f t="array" ref="N135">_xlfn.IFS(G135="Open", L135, G135="Partial", L135*0.5, G135="Paid", 0)</f>
        <v>1812.3405</v>
      </c>
    </row>
    <row r="136" spans="1:14" x14ac:dyDescent="0.25">
      <c r="A136" t="s">
        <v>140</v>
      </c>
      <c r="B136" t="s">
        <v>808</v>
      </c>
      <c r="C136" s="5">
        <v>45631</v>
      </c>
      <c r="D136" s="5">
        <v>45661</v>
      </c>
      <c r="E136" s="3">
        <v>4937.78</v>
      </c>
      <c r="F136" t="s">
        <v>811</v>
      </c>
      <c r="G136" t="s">
        <v>816</v>
      </c>
      <c r="H136" s="5" t="s">
        <v>825</v>
      </c>
      <c r="I136" s="7">
        <f t="shared" si="2"/>
        <v>445</v>
      </c>
      <c r="J136" s="13" t="str" cm="1">
        <f t="array" ref="J136">_xlfn.IFS(I136=0, "Settled", I136&lt;=30, "1-30", I136&lt;=90, "31-90", I136&lt;=365, "91-365", I136&gt;365, "1 Year+")</f>
        <v>1 Year+</v>
      </c>
      <c r="K136" t="s">
        <v>819</v>
      </c>
      <c r="L136" s="3" cm="1">
        <f t="array" ref="L136">_xlfn.IFS(F136="AUD",E136*$V$2,F136="CAD",E136*$V$3,F136="EUR",E136*$V$4,F136="GBP",E136*$V$5,F136="USD",E136*$V$6)</f>
        <v>4246.4907999999996</v>
      </c>
      <c r="M136" s="3" cm="1">
        <f t="array" ref="M136">_xlfn.IFS(G136="Paid", L136, G136="Partial", L136*0.5, G136="Open", 0)</f>
        <v>0</v>
      </c>
      <c r="N136" s="3" cm="1">
        <f t="array" ref="N136">_xlfn.IFS(G136="Open", L136, G136="Partial", L136*0.5, G136="Paid", 0)</f>
        <v>4246.4907999999996</v>
      </c>
    </row>
    <row r="137" spans="1:14" x14ac:dyDescent="0.25">
      <c r="A137" t="s">
        <v>141</v>
      </c>
      <c r="B137" t="s">
        <v>806</v>
      </c>
      <c r="C137" s="5">
        <v>45381</v>
      </c>
      <c r="D137" s="5">
        <v>45411</v>
      </c>
      <c r="E137" s="3">
        <v>2379.1799999999998</v>
      </c>
      <c r="F137" t="s">
        <v>815</v>
      </c>
      <c r="G137" t="s">
        <v>818</v>
      </c>
      <c r="H137" s="5">
        <v>45411</v>
      </c>
      <c r="I137" s="7">
        <f t="shared" si="2"/>
        <v>0</v>
      </c>
      <c r="J137" s="13" t="str" cm="1">
        <f t="array" ref="J137">_xlfn.IFS(I137=0, "Settled", I137&lt;=30, "1-30", I137&lt;=90, "31-90", I137&lt;=365, "91-365", I137&gt;365, "1 Year+")</f>
        <v>Settled</v>
      </c>
      <c r="K137" t="s">
        <v>819</v>
      </c>
      <c r="L137" s="3" cm="1">
        <f t="array" ref="L137">_xlfn.IFS(F137="AUD",E137*$V$2,F137="CAD",E137*$V$3,F137="EUR",E137*$V$4,F137="GBP",E137*$V$5,F137="USD",E137*$V$6)</f>
        <v>3449.8109999999997</v>
      </c>
      <c r="M137" s="3" cm="1">
        <f t="array" ref="M137">_xlfn.IFS(G137="Paid", L137, G137="Partial", L137*0.5, G137="Open", 0)</f>
        <v>3449.8109999999997</v>
      </c>
      <c r="N137" s="3" cm="1">
        <f t="array" ref="N137">_xlfn.IFS(G137="Open", L137, G137="Partial", L137*0.5, G137="Paid", 0)</f>
        <v>0</v>
      </c>
    </row>
    <row r="138" spans="1:14" x14ac:dyDescent="0.25">
      <c r="A138" t="s">
        <v>142</v>
      </c>
      <c r="B138" t="s">
        <v>806</v>
      </c>
      <c r="C138" s="5">
        <v>45265</v>
      </c>
      <c r="D138" s="5">
        <v>45295</v>
      </c>
      <c r="E138" s="3">
        <v>4032.55</v>
      </c>
      <c r="F138" t="s">
        <v>812</v>
      </c>
      <c r="G138" t="s">
        <v>818</v>
      </c>
      <c r="H138" s="5">
        <v>45295</v>
      </c>
      <c r="I138" s="7">
        <f t="shared" si="2"/>
        <v>0</v>
      </c>
      <c r="J138" s="13" t="str" cm="1">
        <f t="array" ref="J138">_xlfn.IFS(I138=0, "Settled", I138&lt;=30, "1-30", I138&lt;=90, "31-90", I138&lt;=365, "91-365", I138&gt;365, "1 Year+")</f>
        <v>Settled</v>
      </c>
      <c r="K138" t="s">
        <v>819</v>
      </c>
      <c r="L138" s="3" cm="1">
        <f t="array" ref="L138">_xlfn.IFS(F138="AUD",E138*$V$2,F138="CAD",E138*$V$3,F138="EUR",E138*$V$4,F138="GBP",E138*$V$5,F138="USD",E138*$V$6)</f>
        <v>5564.9189999999999</v>
      </c>
      <c r="M138" s="3" cm="1">
        <f t="array" ref="M138">_xlfn.IFS(G138="Paid", L138, G138="Partial", L138*0.5, G138="Open", 0)</f>
        <v>5564.9189999999999</v>
      </c>
      <c r="N138" s="3" cm="1">
        <f t="array" ref="N138">_xlfn.IFS(G138="Open", L138, G138="Partial", L138*0.5, G138="Paid", 0)</f>
        <v>0</v>
      </c>
    </row>
    <row r="139" spans="1:14" x14ac:dyDescent="0.25">
      <c r="A139" t="s">
        <v>143</v>
      </c>
      <c r="B139" t="s">
        <v>810</v>
      </c>
      <c r="C139" s="5">
        <v>45494</v>
      </c>
      <c r="D139" s="5">
        <v>45524</v>
      </c>
      <c r="E139" s="3">
        <v>3922.59</v>
      </c>
      <c r="F139" t="s">
        <v>815</v>
      </c>
      <c r="G139" t="s">
        <v>818</v>
      </c>
      <c r="H139" s="5">
        <v>45524</v>
      </c>
      <c r="I139" s="7">
        <f t="shared" si="2"/>
        <v>0</v>
      </c>
      <c r="J139" s="13" t="str" cm="1">
        <f t="array" ref="J139">_xlfn.IFS(I139=0, "Settled", I139&lt;=30, "1-30", I139&lt;=90, "31-90", I139&lt;=365, "91-365", I139&gt;365, "1 Year+")</f>
        <v>Settled</v>
      </c>
      <c r="K139" t="s">
        <v>819</v>
      </c>
      <c r="L139" s="3" cm="1">
        <f t="array" ref="L139">_xlfn.IFS(F139="AUD",E139*$V$2,F139="CAD",E139*$V$3,F139="EUR",E139*$V$4,F139="GBP",E139*$V$5,F139="USD",E139*$V$6)</f>
        <v>5687.7555000000002</v>
      </c>
      <c r="M139" s="3" cm="1">
        <f t="array" ref="M139">_xlfn.IFS(G139="Paid", L139, G139="Partial", L139*0.5, G139="Open", 0)</f>
        <v>5687.7555000000002</v>
      </c>
      <c r="N139" s="3" cm="1">
        <f t="array" ref="N139">_xlfn.IFS(G139="Open", L139, G139="Partial", L139*0.5, G139="Paid", 0)</f>
        <v>0</v>
      </c>
    </row>
    <row r="140" spans="1:14" x14ac:dyDescent="0.25">
      <c r="A140" t="s">
        <v>144</v>
      </c>
      <c r="B140" t="s">
        <v>810</v>
      </c>
      <c r="C140" s="5">
        <v>45174</v>
      </c>
      <c r="D140" s="5">
        <v>45204</v>
      </c>
      <c r="E140" s="3">
        <v>3377.42</v>
      </c>
      <c r="F140" t="s">
        <v>813</v>
      </c>
      <c r="G140" t="s">
        <v>818</v>
      </c>
      <c r="H140" s="5">
        <v>45204</v>
      </c>
      <c r="I140" s="7">
        <f t="shared" si="2"/>
        <v>0</v>
      </c>
      <c r="J140" s="13" t="str" cm="1">
        <f t="array" ref="J140">_xlfn.IFS(I140=0, "Settled", I140&lt;=30, "1-30", I140&lt;=90, "31-90", I140&lt;=365, "91-365", I140&gt;365, "1 Year+")</f>
        <v>Settled</v>
      </c>
      <c r="K140" t="s">
        <v>819</v>
      </c>
      <c r="L140" s="3" cm="1">
        <f t="array" ref="L140">_xlfn.IFS(F140="AUD",E140*$V$2,F140="CAD",E140*$V$3,F140="EUR",E140*$V$4,F140="GBP",E140*$V$5,F140="USD",E140*$V$6)</f>
        <v>2533.0650000000001</v>
      </c>
      <c r="M140" s="3" cm="1">
        <f t="array" ref="M140">_xlfn.IFS(G140="Paid", L140, G140="Partial", L140*0.5, G140="Open", 0)</f>
        <v>2533.0650000000001</v>
      </c>
      <c r="N140" s="3" cm="1">
        <f t="array" ref="N140">_xlfn.IFS(G140="Open", L140, G140="Partial", L140*0.5, G140="Paid", 0)</f>
        <v>0</v>
      </c>
    </row>
    <row r="141" spans="1:14" x14ac:dyDescent="0.25">
      <c r="A141" t="s">
        <v>145</v>
      </c>
      <c r="B141" t="s">
        <v>809</v>
      </c>
      <c r="C141" s="5">
        <v>45638</v>
      </c>
      <c r="D141" s="5">
        <v>45668</v>
      </c>
      <c r="E141" s="3">
        <v>3927.21</v>
      </c>
      <c r="F141" t="s">
        <v>811</v>
      </c>
      <c r="G141" t="s">
        <v>817</v>
      </c>
      <c r="H141" s="5" t="s">
        <v>825</v>
      </c>
      <c r="I141" s="7">
        <f t="shared" si="2"/>
        <v>438</v>
      </c>
      <c r="J141" s="13" t="str" cm="1">
        <f t="array" ref="J141">_xlfn.IFS(I141=0, "Settled", I141&lt;=30, "1-30", I141&lt;=90, "31-90", I141&lt;=365, "91-365", I141&gt;365, "1 Year+")</f>
        <v>1 Year+</v>
      </c>
      <c r="K141" t="s">
        <v>819</v>
      </c>
      <c r="L141" s="3" cm="1">
        <f t="array" ref="L141">_xlfn.IFS(F141="AUD",E141*$V$2,F141="CAD",E141*$V$3,F141="EUR",E141*$V$4,F141="GBP",E141*$V$5,F141="USD",E141*$V$6)</f>
        <v>3377.4005999999999</v>
      </c>
      <c r="M141" s="3" cm="1">
        <f t="array" ref="M141">_xlfn.IFS(G141="Paid", L141, G141="Partial", L141*0.5, G141="Open", 0)</f>
        <v>1688.7003</v>
      </c>
      <c r="N141" s="3" cm="1">
        <f t="array" ref="N141">_xlfn.IFS(G141="Open", L141, G141="Partial", L141*0.5, G141="Paid", 0)</f>
        <v>1688.7003</v>
      </c>
    </row>
    <row r="142" spans="1:14" x14ac:dyDescent="0.25">
      <c r="A142" t="s">
        <v>146</v>
      </c>
      <c r="B142" t="s">
        <v>809</v>
      </c>
      <c r="C142" s="5">
        <v>45400</v>
      </c>
      <c r="D142" s="5">
        <v>45430</v>
      </c>
      <c r="E142" s="3">
        <v>4292.3500000000004</v>
      </c>
      <c r="F142" t="s">
        <v>812</v>
      </c>
      <c r="G142" t="s">
        <v>816</v>
      </c>
      <c r="H142" s="5" t="s">
        <v>825</v>
      </c>
      <c r="I142" s="7">
        <f t="shared" si="2"/>
        <v>676</v>
      </c>
      <c r="J142" s="13" t="str" cm="1">
        <f t="array" ref="J142">_xlfn.IFS(I142=0, "Settled", I142&lt;=30, "1-30", I142&lt;=90, "31-90", I142&lt;=365, "91-365", I142&gt;365, "1 Year+")</f>
        <v>1 Year+</v>
      </c>
      <c r="K142" t="s">
        <v>819</v>
      </c>
      <c r="L142" s="3" cm="1">
        <f t="array" ref="L142">_xlfn.IFS(F142="AUD",E142*$V$2,F142="CAD",E142*$V$3,F142="EUR",E142*$V$4,F142="GBP",E142*$V$5,F142="USD",E142*$V$6)</f>
        <v>5923.4430000000002</v>
      </c>
      <c r="M142" s="3" cm="1">
        <f t="array" ref="M142">_xlfn.IFS(G142="Paid", L142, G142="Partial", L142*0.5, G142="Open", 0)</f>
        <v>0</v>
      </c>
      <c r="N142" s="3" cm="1">
        <f t="array" ref="N142">_xlfn.IFS(G142="Open", L142, G142="Partial", L142*0.5, G142="Paid", 0)</f>
        <v>5923.4430000000002</v>
      </c>
    </row>
    <row r="143" spans="1:14" x14ac:dyDescent="0.25">
      <c r="A143" t="s">
        <v>147</v>
      </c>
      <c r="B143" t="s">
        <v>807</v>
      </c>
      <c r="C143" s="5">
        <v>45827</v>
      </c>
      <c r="D143" s="5">
        <v>45857</v>
      </c>
      <c r="E143" s="3">
        <v>3350.66</v>
      </c>
      <c r="F143" t="s">
        <v>814</v>
      </c>
      <c r="G143" t="s">
        <v>817</v>
      </c>
      <c r="H143" s="5" t="s">
        <v>825</v>
      </c>
      <c r="I143" s="7">
        <f t="shared" si="2"/>
        <v>249</v>
      </c>
      <c r="J143" s="13" t="str" cm="1">
        <f t="array" ref="J143">_xlfn.IFS(I143=0, "Settled", I143&lt;=30, "1-30", I143&lt;=90, "31-90", I143&lt;=365, "91-365", I143&gt;365, "1 Year+")</f>
        <v>91-365</v>
      </c>
      <c r="K143" t="s">
        <v>819</v>
      </c>
      <c r="L143" s="3" cm="1">
        <f t="array" ref="L143">_xlfn.IFS(F143="AUD",E143*$V$2,F143="CAD",E143*$V$3,F143="EUR",E143*$V$4,F143="GBP",E143*$V$5,F143="USD",E143*$V$6)</f>
        <v>3350.66</v>
      </c>
      <c r="M143" s="3" cm="1">
        <f t="array" ref="M143">_xlfn.IFS(G143="Paid", L143, G143="Partial", L143*0.5, G143="Open", 0)</f>
        <v>1675.33</v>
      </c>
      <c r="N143" s="3" cm="1">
        <f t="array" ref="N143">_xlfn.IFS(G143="Open", L143, G143="Partial", L143*0.5, G143="Paid", 0)</f>
        <v>1675.33</v>
      </c>
    </row>
    <row r="144" spans="1:14" x14ac:dyDescent="0.25">
      <c r="A144" t="s">
        <v>148</v>
      </c>
      <c r="B144" t="s">
        <v>810</v>
      </c>
      <c r="C144" s="5">
        <v>45074</v>
      </c>
      <c r="D144" s="5">
        <v>45104</v>
      </c>
      <c r="E144" s="3">
        <v>4762.47</v>
      </c>
      <c r="F144" t="s">
        <v>814</v>
      </c>
      <c r="G144" t="s">
        <v>817</v>
      </c>
      <c r="H144" s="5" t="s">
        <v>825</v>
      </c>
      <c r="I144" s="7">
        <f t="shared" si="2"/>
        <v>1002</v>
      </c>
      <c r="J144" s="13" t="str" cm="1">
        <f t="array" ref="J144">_xlfn.IFS(I144=0, "Settled", I144&lt;=30, "1-30", I144&lt;=90, "31-90", I144&lt;=365, "91-365", I144&gt;365, "1 Year+")</f>
        <v>1 Year+</v>
      </c>
      <c r="K144" t="s">
        <v>819</v>
      </c>
      <c r="L144" s="3" cm="1">
        <f t="array" ref="L144">_xlfn.IFS(F144="AUD",E144*$V$2,F144="CAD",E144*$V$3,F144="EUR",E144*$V$4,F144="GBP",E144*$V$5,F144="USD",E144*$V$6)</f>
        <v>4762.47</v>
      </c>
      <c r="M144" s="3" cm="1">
        <f t="array" ref="M144">_xlfn.IFS(G144="Paid", L144, G144="Partial", L144*0.5, G144="Open", 0)</f>
        <v>2381.2350000000001</v>
      </c>
      <c r="N144" s="3" cm="1">
        <f t="array" ref="N144">_xlfn.IFS(G144="Open", L144, G144="Partial", L144*0.5, G144="Paid", 0)</f>
        <v>2381.2350000000001</v>
      </c>
    </row>
    <row r="145" spans="1:14" x14ac:dyDescent="0.25">
      <c r="A145" t="s">
        <v>149</v>
      </c>
      <c r="B145" t="s">
        <v>810</v>
      </c>
      <c r="C145" s="5">
        <v>45139</v>
      </c>
      <c r="D145" s="5">
        <v>45169</v>
      </c>
      <c r="E145" s="3">
        <v>1589.97</v>
      </c>
      <c r="F145" t="s">
        <v>815</v>
      </c>
      <c r="G145" t="s">
        <v>816</v>
      </c>
      <c r="H145" s="5" t="s">
        <v>825</v>
      </c>
      <c r="I145" s="7">
        <f t="shared" si="2"/>
        <v>937</v>
      </c>
      <c r="J145" s="13" t="str" cm="1">
        <f t="array" ref="J145">_xlfn.IFS(I145=0, "Settled", I145&lt;=30, "1-30", I145&lt;=90, "31-90", I145&lt;=365, "91-365", I145&gt;365, "1 Year+")</f>
        <v>1 Year+</v>
      </c>
      <c r="K145" t="s">
        <v>819</v>
      </c>
      <c r="L145" s="3" cm="1">
        <f t="array" ref="L145">_xlfn.IFS(F145="AUD",E145*$V$2,F145="CAD",E145*$V$3,F145="EUR",E145*$V$4,F145="GBP",E145*$V$5,F145="USD",E145*$V$6)</f>
        <v>2305.4564999999998</v>
      </c>
      <c r="M145" s="3" cm="1">
        <f t="array" ref="M145">_xlfn.IFS(G145="Paid", L145, G145="Partial", L145*0.5, G145="Open", 0)</f>
        <v>0</v>
      </c>
      <c r="N145" s="3" cm="1">
        <f t="array" ref="N145">_xlfn.IFS(G145="Open", L145, G145="Partial", L145*0.5, G145="Paid", 0)</f>
        <v>2305.4564999999998</v>
      </c>
    </row>
    <row r="146" spans="1:14" x14ac:dyDescent="0.25">
      <c r="A146" t="s">
        <v>150</v>
      </c>
      <c r="B146" t="s">
        <v>808</v>
      </c>
      <c r="C146" s="5">
        <v>45467</v>
      </c>
      <c r="D146" s="5">
        <v>45497</v>
      </c>
      <c r="E146" s="3">
        <v>2206.4</v>
      </c>
      <c r="F146" t="s">
        <v>813</v>
      </c>
      <c r="G146" t="s">
        <v>817</v>
      </c>
      <c r="H146" s="5" t="s">
        <v>825</v>
      </c>
      <c r="I146" s="7">
        <f t="shared" si="2"/>
        <v>609</v>
      </c>
      <c r="J146" s="13" t="str" cm="1">
        <f t="array" ref="J146">_xlfn.IFS(I146=0, "Settled", I146&lt;=30, "1-30", I146&lt;=90, "31-90", I146&lt;=365, "91-365", I146&gt;365, "1 Year+")</f>
        <v>1 Year+</v>
      </c>
      <c r="K146" t="s">
        <v>819</v>
      </c>
      <c r="L146" s="3" cm="1">
        <f t="array" ref="L146">_xlfn.IFS(F146="AUD",E146*$V$2,F146="CAD",E146*$V$3,F146="EUR",E146*$V$4,F146="GBP",E146*$V$5,F146="USD",E146*$V$6)</f>
        <v>1654.8000000000002</v>
      </c>
      <c r="M146" s="3" cm="1">
        <f t="array" ref="M146">_xlfn.IFS(G146="Paid", L146, G146="Partial", L146*0.5, G146="Open", 0)</f>
        <v>827.40000000000009</v>
      </c>
      <c r="N146" s="3" cm="1">
        <f t="array" ref="N146">_xlfn.IFS(G146="Open", L146, G146="Partial", L146*0.5, G146="Paid", 0)</f>
        <v>827.40000000000009</v>
      </c>
    </row>
    <row r="147" spans="1:14" x14ac:dyDescent="0.25">
      <c r="A147" t="s">
        <v>151</v>
      </c>
      <c r="B147" t="s">
        <v>809</v>
      </c>
      <c r="C147" s="5">
        <v>45258</v>
      </c>
      <c r="D147" s="5">
        <v>45288</v>
      </c>
      <c r="E147" s="3">
        <v>2642.46</v>
      </c>
      <c r="F147" t="s">
        <v>813</v>
      </c>
      <c r="G147" t="s">
        <v>818</v>
      </c>
      <c r="H147" s="5">
        <v>45288</v>
      </c>
      <c r="I147" s="7">
        <f t="shared" si="2"/>
        <v>0</v>
      </c>
      <c r="J147" s="13" t="str" cm="1">
        <f t="array" ref="J147">_xlfn.IFS(I147=0, "Settled", I147&lt;=30, "1-30", I147&lt;=90, "31-90", I147&lt;=365, "91-365", I147&gt;365, "1 Year+")</f>
        <v>Settled</v>
      </c>
      <c r="K147" t="s">
        <v>819</v>
      </c>
      <c r="L147" s="3" cm="1">
        <f t="array" ref="L147">_xlfn.IFS(F147="AUD",E147*$V$2,F147="CAD",E147*$V$3,F147="EUR",E147*$V$4,F147="GBP",E147*$V$5,F147="USD",E147*$V$6)</f>
        <v>1981.845</v>
      </c>
      <c r="M147" s="3" cm="1">
        <f t="array" ref="M147">_xlfn.IFS(G147="Paid", L147, G147="Partial", L147*0.5, G147="Open", 0)</f>
        <v>1981.845</v>
      </c>
      <c r="N147" s="3" cm="1">
        <f t="array" ref="N147">_xlfn.IFS(G147="Open", L147, G147="Partial", L147*0.5, G147="Paid", 0)</f>
        <v>0</v>
      </c>
    </row>
    <row r="148" spans="1:14" x14ac:dyDescent="0.25">
      <c r="A148" t="s">
        <v>152</v>
      </c>
      <c r="B148" t="s">
        <v>810</v>
      </c>
      <c r="C148" s="5">
        <v>45392</v>
      </c>
      <c r="D148" s="5">
        <v>45422</v>
      </c>
      <c r="E148" s="3">
        <v>2413.9</v>
      </c>
      <c r="F148" t="s">
        <v>812</v>
      </c>
      <c r="G148" t="s">
        <v>817</v>
      </c>
      <c r="H148" s="5" t="s">
        <v>825</v>
      </c>
      <c r="I148" s="7">
        <f t="shared" si="2"/>
        <v>684</v>
      </c>
      <c r="J148" s="13" t="str" cm="1">
        <f t="array" ref="J148">_xlfn.IFS(I148=0, "Settled", I148&lt;=30, "1-30", I148&lt;=90, "31-90", I148&lt;=365, "91-365", I148&gt;365, "1 Year+")</f>
        <v>1 Year+</v>
      </c>
      <c r="K148" t="s">
        <v>819</v>
      </c>
      <c r="L148" s="3" cm="1">
        <f t="array" ref="L148">_xlfn.IFS(F148="AUD",E148*$V$2,F148="CAD",E148*$V$3,F148="EUR",E148*$V$4,F148="GBP",E148*$V$5,F148="USD",E148*$V$6)</f>
        <v>3331.1819999999998</v>
      </c>
      <c r="M148" s="3" cm="1">
        <f t="array" ref="M148">_xlfn.IFS(G148="Paid", L148, G148="Partial", L148*0.5, G148="Open", 0)</f>
        <v>1665.5909999999999</v>
      </c>
      <c r="N148" s="3" cm="1">
        <f t="array" ref="N148">_xlfn.IFS(G148="Open", L148, G148="Partial", L148*0.5, G148="Paid", 0)</f>
        <v>1665.5909999999999</v>
      </c>
    </row>
    <row r="149" spans="1:14" x14ac:dyDescent="0.25">
      <c r="A149" t="s">
        <v>153</v>
      </c>
      <c r="B149" t="s">
        <v>809</v>
      </c>
      <c r="C149" s="5">
        <v>45154</v>
      </c>
      <c r="D149" s="5">
        <v>45184</v>
      </c>
      <c r="E149" s="3">
        <v>2803.47</v>
      </c>
      <c r="F149" t="s">
        <v>814</v>
      </c>
      <c r="G149" t="s">
        <v>817</v>
      </c>
      <c r="H149" s="5" t="s">
        <v>825</v>
      </c>
      <c r="I149" s="7">
        <f t="shared" si="2"/>
        <v>922</v>
      </c>
      <c r="J149" s="13" t="str" cm="1">
        <f t="array" ref="J149">_xlfn.IFS(I149=0, "Settled", I149&lt;=30, "1-30", I149&lt;=90, "31-90", I149&lt;=365, "91-365", I149&gt;365, "1 Year+")</f>
        <v>1 Year+</v>
      </c>
      <c r="K149" t="s">
        <v>819</v>
      </c>
      <c r="L149" s="3" cm="1">
        <f t="array" ref="L149">_xlfn.IFS(F149="AUD",E149*$V$2,F149="CAD",E149*$V$3,F149="EUR",E149*$V$4,F149="GBP",E149*$V$5,F149="USD",E149*$V$6)</f>
        <v>2803.47</v>
      </c>
      <c r="M149" s="3" cm="1">
        <f t="array" ref="M149">_xlfn.IFS(G149="Paid", L149, G149="Partial", L149*0.5, G149="Open", 0)</f>
        <v>1401.7349999999999</v>
      </c>
      <c r="N149" s="3" cm="1">
        <f t="array" ref="N149">_xlfn.IFS(G149="Open", L149, G149="Partial", L149*0.5, G149="Paid", 0)</f>
        <v>1401.7349999999999</v>
      </c>
    </row>
    <row r="150" spans="1:14" x14ac:dyDescent="0.25">
      <c r="A150" t="s">
        <v>154</v>
      </c>
      <c r="B150" t="s">
        <v>807</v>
      </c>
      <c r="C150" s="5">
        <v>45199</v>
      </c>
      <c r="D150" s="5">
        <v>45229</v>
      </c>
      <c r="E150" s="3">
        <v>3709.9</v>
      </c>
      <c r="F150" t="s">
        <v>811</v>
      </c>
      <c r="G150" t="s">
        <v>817</v>
      </c>
      <c r="H150" s="5" t="s">
        <v>825</v>
      </c>
      <c r="I150" s="7">
        <f t="shared" si="2"/>
        <v>877</v>
      </c>
      <c r="J150" s="13" t="str" cm="1">
        <f t="array" ref="J150">_xlfn.IFS(I150=0, "Settled", I150&lt;=30, "1-30", I150&lt;=90, "31-90", I150&lt;=365, "91-365", I150&gt;365, "1 Year+")</f>
        <v>1 Year+</v>
      </c>
      <c r="K150" t="s">
        <v>819</v>
      </c>
      <c r="L150" s="3" cm="1">
        <f t="array" ref="L150">_xlfn.IFS(F150="AUD",E150*$V$2,F150="CAD",E150*$V$3,F150="EUR",E150*$V$4,F150="GBP",E150*$V$5,F150="USD",E150*$V$6)</f>
        <v>3190.5140000000001</v>
      </c>
      <c r="M150" s="3" cm="1">
        <f t="array" ref="M150">_xlfn.IFS(G150="Paid", L150, G150="Partial", L150*0.5, G150="Open", 0)</f>
        <v>1595.2570000000001</v>
      </c>
      <c r="N150" s="3" cm="1">
        <f t="array" ref="N150">_xlfn.IFS(G150="Open", L150, G150="Partial", L150*0.5, G150="Paid", 0)</f>
        <v>1595.2570000000001</v>
      </c>
    </row>
    <row r="151" spans="1:14" x14ac:dyDescent="0.25">
      <c r="A151" t="s">
        <v>155</v>
      </c>
      <c r="B151" t="s">
        <v>808</v>
      </c>
      <c r="C151" s="5">
        <v>45456</v>
      </c>
      <c r="D151" s="5">
        <v>45486</v>
      </c>
      <c r="E151" s="3">
        <v>4721.1499999999996</v>
      </c>
      <c r="F151" t="s">
        <v>815</v>
      </c>
      <c r="G151" t="s">
        <v>818</v>
      </c>
      <c r="H151" s="5">
        <v>45486</v>
      </c>
      <c r="I151" s="7">
        <f t="shared" si="2"/>
        <v>0</v>
      </c>
      <c r="J151" s="13" t="str" cm="1">
        <f t="array" ref="J151">_xlfn.IFS(I151=0, "Settled", I151&lt;=30, "1-30", I151&lt;=90, "31-90", I151&lt;=365, "91-365", I151&gt;365, "1 Year+")</f>
        <v>Settled</v>
      </c>
      <c r="K151" t="s">
        <v>819</v>
      </c>
      <c r="L151" s="3" cm="1">
        <f t="array" ref="L151">_xlfn.IFS(F151="AUD",E151*$V$2,F151="CAD",E151*$V$3,F151="EUR",E151*$V$4,F151="GBP",E151*$V$5,F151="USD",E151*$V$6)</f>
        <v>6845.6674999999996</v>
      </c>
      <c r="M151" s="3" cm="1">
        <f t="array" ref="M151">_xlfn.IFS(G151="Paid", L151, G151="Partial", L151*0.5, G151="Open", 0)</f>
        <v>6845.6674999999996</v>
      </c>
      <c r="N151" s="3" cm="1">
        <f t="array" ref="N151">_xlfn.IFS(G151="Open", L151, G151="Partial", L151*0.5, G151="Paid", 0)</f>
        <v>0</v>
      </c>
    </row>
    <row r="152" spans="1:14" x14ac:dyDescent="0.25">
      <c r="A152" t="s">
        <v>156</v>
      </c>
      <c r="B152" t="s">
        <v>810</v>
      </c>
      <c r="C152" s="5">
        <v>45144</v>
      </c>
      <c r="D152" s="5">
        <v>45174</v>
      </c>
      <c r="E152" s="3">
        <v>1555.44</v>
      </c>
      <c r="F152" t="s">
        <v>814</v>
      </c>
      <c r="G152" t="s">
        <v>817</v>
      </c>
      <c r="H152" s="5" t="s">
        <v>825</v>
      </c>
      <c r="I152" s="7">
        <f t="shared" si="2"/>
        <v>932</v>
      </c>
      <c r="J152" s="13" t="str" cm="1">
        <f t="array" ref="J152">_xlfn.IFS(I152=0, "Settled", I152&lt;=30, "1-30", I152&lt;=90, "31-90", I152&lt;=365, "91-365", I152&gt;365, "1 Year+")</f>
        <v>1 Year+</v>
      </c>
      <c r="K152" t="s">
        <v>819</v>
      </c>
      <c r="L152" s="3" cm="1">
        <f t="array" ref="L152">_xlfn.IFS(F152="AUD",E152*$V$2,F152="CAD",E152*$V$3,F152="EUR",E152*$V$4,F152="GBP",E152*$V$5,F152="USD",E152*$V$6)</f>
        <v>1555.44</v>
      </c>
      <c r="M152" s="3" cm="1">
        <f t="array" ref="M152">_xlfn.IFS(G152="Paid", L152, G152="Partial", L152*0.5, G152="Open", 0)</f>
        <v>777.72</v>
      </c>
      <c r="N152" s="3" cm="1">
        <f t="array" ref="N152">_xlfn.IFS(G152="Open", L152, G152="Partial", L152*0.5, G152="Paid", 0)</f>
        <v>777.72</v>
      </c>
    </row>
    <row r="153" spans="1:14" x14ac:dyDescent="0.25">
      <c r="A153" t="s">
        <v>157</v>
      </c>
      <c r="B153" t="s">
        <v>808</v>
      </c>
      <c r="C153" s="5">
        <v>45390</v>
      </c>
      <c r="D153" s="5">
        <v>45420</v>
      </c>
      <c r="E153" s="3">
        <v>2731.15</v>
      </c>
      <c r="F153" t="s">
        <v>814</v>
      </c>
      <c r="G153" t="s">
        <v>818</v>
      </c>
      <c r="H153" s="5">
        <v>45420</v>
      </c>
      <c r="I153" s="7">
        <f t="shared" si="2"/>
        <v>0</v>
      </c>
      <c r="J153" s="13" t="str" cm="1">
        <f t="array" ref="J153">_xlfn.IFS(I153=0, "Settled", I153&lt;=30, "1-30", I153&lt;=90, "31-90", I153&lt;=365, "91-365", I153&gt;365, "1 Year+")</f>
        <v>Settled</v>
      </c>
      <c r="K153" t="s">
        <v>819</v>
      </c>
      <c r="L153" s="3" cm="1">
        <f t="array" ref="L153">_xlfn.IFS(F153="AUD",E153*$V$2,F153="CAD",E153*$V$3,F153="EUR",E153*$V$4,F153="GBP",E153*$V$5,F153="USD",E153*$V$6)</f>
        <v>2731.15</v>
      </c>
      <c r="M153" s="3" cm="1">
        <f t="array" ref="M153">_xlfn.IFS(G153="Paid", L153, G153="Partial", L153*0.5, G153="Open", 0)</f>
        <v>2731.15</v>
      </c>
      <c r="N153" s="3" cm="1">
        <f t="array" ref="N153">_xlfn.IFS(G153="Open", L153, G153="Partial", L153*0.5, G153="Paid", 0)</f>
        <v>0</v>
      </c>
    </row>
    <row r="154" spans="1:14" x14ac:dyDescent="0.25">
      <c r="A154" t="s">
        <v>158</v>
      </c>
      <c r="B154" t="s">
        <v>806</v>
      </c>
      <c r="C154" s="5">
        <v>45622</v>
      </c>
      <c r="D154" s="5">
        <v>45652</v>
      </c>
      <c r="E154" s="3">
        <v>3600.41</v>
      </c>
      <c r="F154" t="s">
        <v>812</v>
      </c>
      <c r="G154" t="s">
        <v>817</v>
      </c>
      <c r="H154" s="5" t="s">
        <v>825</v>
      </c>
      <c r="I154" s="7">
        <f t="shared" si="2"/>
        <v>454</v>
      </c>
      <c r="J154" s="13" t="str" cm="1">
        <f t="array" ref="J154">_xlfn.IFS(I154=0, "Settled", I154&lt;=30, "1-30", I154&lt;=90, "31-90", I154&lt;=365, "91-365", I154&gt;365, "1 Year+")</f>
        <v>1 Year+</v>
      </c>
      <c r="K154" t="s">
        <v>819</v>
      </c>
      <c r="L154" s="3" cm="1">
        <f t="array" ref="L154">_xlfn.IFS(F154="AUD",E154*$V$2,F154="CAD",E154*$V$3,F154="EUR",E154*$V$4,F154="GBP",E154*$V$5,F154="USD",E154*$V$6)</f>
        <v>4968.5657999999994</v>
      </c>
      <c r="M154" s="3" cm="1">
        <f t="array" ref="M154">_xlfn.IFS(G154="Paid", L154, G154="Partial", L154*0.5, G154="Open", 0)</f>
        <v>2484.2828999999997</v>
      </c>
      <c r="N154" s="3" cm="1">
        <f t="array" ref="N154">_xlfn.IFS(G154="Open", L154, G154="Partial", L154*0.5, G154="Paid", 0)</f>
        <v>2484.2828999999997</v>
      </c>
    </row>
    <row r="155" spans="1:14" x14ac:dyDescent="0.25">
      <c r="A155" t="s">
        <v>159</v>
      </c>
      <c r="B155" t="s">
        <v>806</v>
      </c>
      <c r="C155" s="5">
        <v>44990</v>
      </c>
      <c r="D155" s="5">
        <v>45020</v>
      </c>
      <c r="E155" s="3">
        <v>1532.1</v>
      </c>
      <c r="F155" t="s">
        <v>811</v>
      </c>
      <c r="G155" t="s">
        <v>818</v>
      </c>
      <c r="H155" s="5">
        <v>45020</v>
      </c>
      <c r="I155" s="7">
        <f t="shared" si="2"/>
        <v>0</v>
      </c>
      <c r="J155" s="13" t="str" cm="1">
        <f t="array" ref="J155">_xlfn.IFS(I155=0, "Settled", I155&lt;=30, "1-30", I155&lt;=90, "31-90", I155&lt;=365, "91-365", I155&gt;365, "1 Year+")</f>
        <v>Settled</v>
      </c>
      <c r="K155" t="s">
        <v>819</v>
      </c>
      <c r="L155" s="3" cm="1">
        <f t="array" ref="L155">_xlfn.IFS(F155="AUD",E155*$V$2,F155="CAD",E155*$V$3,F155="EUR",E155*$V$4,F155="GBP",E155*$V$5,F155="USD",E155*$V$6)</f>
        <v>1317.606</v>
      </c>
      <c r="M155" s="3" cm="1">
        <f t="array" ref="M155">_xlfn.IFS(G155="Paid", L155, G155="Partial", L155*0.5, G155="Open", 0)</f>
        <v>1317.606</v>
      </c>
      <c r="N155" s="3" cm="1">
        <f t="array" ref="N155">_xlfn.IFS(G155="Open", L155, G155="Partial", L155*0.5, G155="Paid", 0)</f>
        <v>0</v>
      </c>
    </row>
    <row r="156" spans="1:14" x14ac:dyDescent="0.25">
      <c r="A156" t="s">
        <v>160</v>
      </c>
      <c r="B156" t="s">
        <v>807</v>
      </c>
      <c r="C156" s="5">
        <v>45475</v>
      </c>
      <c r="D156" s="5">
        <v>45505</v>
      </c>
      <c r="E156" s="3">
        <v>3671.9</v>
      </c>
      <c r="F156" t="s">
        <v>814</v>
      </c>
      <c r="G156" t="s">
        <v>816</v>
      </c>
      <c r="H156" s="5" t="s">
        <v>825</v>
      </c>
      <c r="I156" s="7">
        <f t="shared" si="2"/>
        <v>601</v>
      </c>
      <c r="J156" s="13" t="str" cm="1">
        <f t="array" ref="J156">_xlfn.IFS(I156=0, "Settled", I156&lt;=30, "1-30", I156&lt;=90, "31-90", I156&lt;=365, "91-365", I156&gt;365, "1 Year+")</f>
        <v>1 Year+</v>
      </c>
      <c r="K156" t="s">
        <v>819</v>
      </c>
      <c r="L156" s="3" cm="1">
        <f t="array" ref="L156">_xlfn.IFS(F156="AUD",E156*$V$2,F156="CAD",E156*$V$3,F156="EUR",E156*$V$4,F156="GBP",E156*$V$5,F156="USD",E156*$V$6)</f>
        <v>3671.9</v>
      </c>
      <c r="M156" s="3" cm="1">
        <f t="array" ref="M156">_xlfn.IFS(G156="Paid", L156, G156="Partial", L156*0.5, G156="Open", 0)</f>
        <v>0</v>
      </c>
      <c r="N156" s="3" cm="1">
        <f t="array" ref="N156">_xlfn.IFS(G156="Open", L156, G156="Partial", L156*0.5, G156="Paid", 0)</f>
        <v>3671.9</v>
      </c>
    </row>
    <row r="157" spans="1:14" x14ac:dyDescent="0.25">
      <c r="A157" t="s">
        <v>161</v>
      </c>
      <c r="B157" t="s">
        <v>808</v>
      </c>
      <c r="C157" s="5">
        <v>45345</v>
      </c>
      <c r="D157" s="5">
        <v>45375</v>
      </c>
      <c r="E157" s="3">
        <v>249.12</v>
      </c>
      <c r="F157" t="s">
        <v>814</v>
      </c>
      <c r="G157" t="s">
        <v>816</v>
      </c>
      <c r="H157" s="5" t="s">
        <v>825</v>
      </c>
      <c r="I157" s="7">
        <f t="shared" si="2"/>
        <v>731</v>
      </c>
      <c r="J157" s="13" t="str" cm="1">
        <f t="array" ref="J157">_xlfn.IFS(I157=0, "Settled", I157&lt;=30, "1-30", I157&lt;=90, "31-90", I157&lt;=365, "91-365", I157&gt;365, "1 Year+")</f>
        <v>1 Year+</v>
      </c>
      <c r="K157" t="s">
        <v>819</v>
      </c>
      <c r="L157" s="3" cm="1">
        <f t="array" ref="L157">_xlfn.IFS(F157="AUD",E157*$V$2,F157="CAD",E157*$V$3,F157="EUR",E157*$V$4,F157="GBP",E157*$V$5,F157="USD",E157*$V$6)</f>
        <v>249.12</v>
      </c>
      <c r="M157" s="3" cm="1">
        <f t="array" ref="M157">_xlfn.IFS(G157="Paid", L157, G157="Partial", L157*0.5, G157="Open", 0)</f>
        <v>0</v>
      </c>
      <c r="N157" s="3" cm="1">
        <f t="array" ref="N157">_xlfn.IFS(G157="Open", L157, G157="Partial", L157*0.5, G157="Paid", 0)</f>
        <v>249.12</v>
      </c>
    </row>
    <row r="158" spans="1:14" x14ac:dyDescent="0.25">
      <c r="A158" t="s">
        <v>162</v>
      </c>
      <c r="B158" t="s">
        <v>809</v>
      </c>
      <c r="C158" s="5">
        <v>45567</v>
      </c>
      <c r="D158" s="5">
        <v>45597</v>
      </c>
      <c r="E158" s="3">
        <v>1247.49</v>
      </c>
      <c r="F158" t="s">
        <v>811</v>
      </c>
      <c r="G158" t="s">
        <v>817</v>
      </c>
      <c r="H158" s="5" t="s">
        <v>825</v>
      </c>
      <c r="I158" s="7">
        <f t="shared" si="2"/>
        <v>509</v>
      </c>
      <c r="J158" s="13" t="str" cm="1">
        <f t="array" ref="J158">_xlfn.IFS(I158=0, "Settled", I158&lt;=30, "1-30", I158&lt;=90, "31-90", I158&lt;=365, "91-365", I158&gt;365, "1 Year+")</f>
        <v>1 Year+</v>
      </c>
      <c r="K158" t="s">
        <v>819</v>
      </c>
      <c r="L158" s="3" cm="1">
        <f t="array" ref="L158">_xlfn.IFS(F158="AUD",E158*$V$2,F158="CAD",E158*$V$3,F158="EUR",E158*$V$4,F158="GBP",E158*$V$5,F158="USD",E158*$V$6)</f>
        <v>1072.8414</v>
      </c>
      <c r="M158" s="3" cm="1">
        <f t="array" ref="M158">_xlfn.IFS(G158="Paid", L158, G158="Partial", L158*0.5, G158="Open", 0)</f>
        <v>536.42070000000001</v>
      </c>
      <c r="N158" s="3" cm="1">
        <f t="array" ref="N158">_xlfn.IFS(G158="Open", L158, G158="Partial", L158*0.5, G158="Paid", 0)</f>
        <v>536.42070000000001</v>
      </c>
    </row>
    <row r="159" spans="1:14" x14ac:dyDescent="0.25">
      <c r="A159" t="s">
        <v>163</v>
      </c>
      <c r="B159" t="s">
        <v>809</v>
      </c>
      <c r="C159" s="5">
        <v>45081</v>
      </c>
      <c r="D159" s="5">
        <v>45111</v>
      </c>
      <c r="E159" s="3">
        <v>4374.63</v>
      </c>
      <c r="F159" t="s">
        <v>814</v>
      </c>
      <c r="G159" t="s">
        <v>817</v>
      </c>
      <c r="H159" s="5" t="s">
        <v>825</v>
      </c>
      <c r="I159" s="7">
        <f t="shared" si="2"/>
        <v>995</v>
      </c>
      <c r="J159" s="13" t="str" cm="1">
        <f t="array" ref="J159">_xlfn.IFS(I159=0, "Settled", I159&lt;=30, "1-30", I159&lt;=90, "31-90", I159&lt;=365, "91-365", I159&gt;365, "1 Year+")</f>
        <v>1 Year+</v>
      </c>
      <c r="K159" t="s">
        <v>819</v>
      </c>
      <c r="L159" s="3" cm="1">
        <f t="array" ref="L159">_xlfn.IFS(F159="AUD",E159*$V$2,F159="CAD",E159*$V$3,F159="EUR",E159*$V$4,F159="GBP",E159*$V$5,F159="USD",E159*$V$6)</f>
        <v>4374.63</v>
      </c>
      <c r="M159" s="3" cm="1">
        <f t="array" ref="M159">_xlfn.IFS(G159="Paid", L159, G159="Partial", L159*0.5, G159="Open", 0)</f>
        <v>2187.3150000000001</v>
      </c>
      <c r="N159" s="3" cm="1">
        <f t="array" ref="N159">_xlfn.IFS(G159="Open", L159, G159="Partial", L159*0.5, G159="Paid", 0)</f>
        <v>2187.3150000000001</v>
      </c>
    </row>
    <row r="160" spans="1:14" x14ac:dyDescent="0.25">
      <c r="A160" t="s">
        <v>164</v>
      </c>
      <c r="B160" t="s">
        <v>809</v>
      </c>
      <c r="C160" s="5">
        <v>45044</v>
      </c>
      <c r="D160" s="5">
        <v>45074</v>
      </c>
      <c r="E160" s="3">
        <v>3691.12</v>
      </c>
      <c r="F160" t="s">
        <v>811</v>
      </c>
      <c r="G160" t="s">
        <v>817</v>
      </c>
      <c r="H160" s="5" t="s">
        <v>825</v>
      </c>
      <c r="I160" s="7">
        <f t="shared" si="2"/>
        <v>1032</v>
      </c>
      <c r="J160" s="13" t="str" cm="1">
        <f t="array" ref="J160">_xlfn.IFS(I160=0, "Settled", I160&lt;=30, "1-30", I160&lt;=90, "31-90", I160&lt;=365, "91-365", I160&gt;365, "1 Year+")</f>
        <v>1 Year+</v>
      </c>
      <c r="K160" t="s">
        <v>819</v>
      </c>
      <c r="L160" s="3" cm="1">
        <f t="array" ref="L160">_xlfn.IFS(F160="AUD",E160*$V$2,F160="CAD",E160*$V$3,F160="EUR",E160*$V$4,F160="GBP",E160*$V$5,F160="USD",E160*$V$6)</f>
        <v>3174.3631999999998</v>
      </c>
      <c r="M160" s="3" cm="1">
        <f t="array" ref="M160">_xlfn.IFS(G160="Paid", L160, G160="Partial", L160*0.5, G160="Open", 0)</f>
        <v>1587.1815999999999</v>
      </c>
      <c r="N160" s="3" cm="1">
        <f t="array" ref="N160">_xlfn.IFS(G160="Open", L160, G160="Partial", L160*0.5, G160="Paid", 0)</f>
        <v>1587.1815999999999</v>
      </c>
    </row>
    <row r="161" spans="1:14" x14ac:dyDescent="0.25">
      <c r="A161" t="s">
        <v>165</v>
      </c>
      <c r="B161" t="s">
        <v>809</v>
      </c>
      <c r="C161" s="5">
        <v>45443</v>
      </c>
      <c r="D161" s="5">
        <v>45473</v>
      </c>
      <c r="E161" s="3">
        <v>4217.3900000000003</v>
      </c>
      <c r="F161" t="s">
        <v>815</v>
      </c>
      <c r="G161" t="s">
        <v>818</v>
      </c>
      <c r="H161" s="5">
        <v>45473</v>
      </c>
      <c r="I161" s="7">
        <f t="shared" si="2"/>
        <v>0</v>
      </c>
      <c r="J161" s="13" t="str" cm="1">
        <f t="array" ref="J161">_xlfn.IFS(I161=0, "Settled", I161&lt;=30, "1-30", I161&lt;=90, "31-90", I161&lt;=365, "91-365", I161&gt;365, "1 Year+")</f>
        <v>Settled</v>
      </c>
      <c r="K161" t="s">
        <v>819</v>
      </c>
      <c r="L161" s="3" cm="1">
        <f t="array" ref="L161">_xlfn.IFS(F161="AUD",E161*$V$2,F161="CAD",E161*$V$3,F161="EUR",E161*$V$4,F161="GBP",E161*$V$5,F161="USD",E161*$V$6)</f>
        <v>6115.2155000000002</v>
      </c>
      <c r="M161" s="3" cm="1">
        <f t="array" ref="M161">_xlfn.IFS(G161="Paid", L161, G161="Partial", L161*0.5, G161="Open", 0)</f>
        <v>6115.2155000000002</v>
      </c>
      <c r="N161" s="3" cm="1">
        <f t="array" ref="N161">_xlfn.IFS(G161="Open", L161, G161="Partial", L161*0.5, G161="Paid", 0)</f>
        <v>0</v>
      </c>
    </row>
    <row r="162" spans="1:14" x14ac:dyDescent="0.25">
      <c r="A162" t="s">
        <v>166</v>
      </c>
      <c r="B162" t="s">
        <v>807</v>
      </c>
      <c r="C162" s="5">
        <v>45204</v>
      </c>
      <c r="D162" s="5">
        <v>45234</v>
      </c>
      <c r="E162" s="3">
        <v>4642.3599999999997</v>
      </c>
      <c r="F162" t="s">
        <v>812</v>
      </c>
      <c r="G162" t="s">
        <v>816</v>
      </c>
      <c r="H162" s="5" t="s">
        <v>825</v>
      </c>
      <c r="I162" s="7">
        <f t="shared" si="2"/>
        <v>872</v>
      </c>
      <c r="J162" s="13" t="str" cm="1">
        <f t="array" ref="J162">_xlfn.IFS(I162=0, "Settled", I162&lt;=30, "1-30", I162&lt;=90, "31-90", I162&lt;=365, "91-365", I162&gt;365, "1 Year+")</f>
        <v>1 Year+</v>
      </c>
      <c r="K162" t="s">
        <v>819</v>
      </c>
      <c r="L162" s="3" cm="1">
        <f t="array" ref="L162">_xlfn.IFS(F162="AUD",E162*$V$2,F162="CAD",E162*$V$3,F162="EUR",E162*$V$4,F162="GBP",E162*$V$5,F162="USD",E162*$V$6)</f>
        <v>6406.456799999999</v>
      </c>
      <c r="M162" s="3" cm="1">
        <f t="array" ref="M162">_xlfn.IFS(G162="Paid", L162, G162="Partial", L162*0.5, G162="Open", 0)</f>
        <v>0</v>
      </c>
      <c r="N162" s="3" cm="1">
        <f t="array" ref="N162">_xlfn.IFS(G162="Open", L162, G162="Partial", L162*0.5, G162="Paid", 0)</f>
        <v>6406.456799999999</v>
      </c>
    </row>
    <row r="163" spans="1:14" x14ac:dyDescent="0.25">
      <c r="A163" t="s">
        <v>167</v>
      </c>
      <c r="B163" t="s">
        <v>806</v>
      </c>
      <c r="C163" s="5">
        <v>45734</v>
      </c>
      <c r="D163" s="5">
        <v>45764</v>
      </c>
      <c r="E163" s="3">
        <v>3580.35</v>
      </c>
      <c r="F163" t="s">
        <v>815</v>
      </c>
      <c r="G163" t="s">
        <v>817</v>
      </c>
      <c r="H163" s="5" t="s">
        <v>825</v>
      </c>
      <c r="I163" s="7">
        <f t="shared" si="2"/>
        <v>342</v>
      </c>
      <c r="J163" s="13" t="str" cm="1">
        <f t="array" ref="J163">_xlfn.IFS(I163=0, "Settled", I163&lt;=30, "1-30", I163&lt;=90, "31-90", I163&lt;=365, "91-365", I163&gt;365, "1 Year+")</f>
        <v>91-365</v>
      </c>
      <c r="K163" t="s">
        <v>819</v>
      </c>
      <c r="L163" s="3" cm="1">
        <f t="array" ref="L163">_xlfn.IFS(F163="AUD",E163*$V$2,F163="CAD",E163*$V$3,F163="EUR",E163*$V$4,F163="GBP",E163*$V$5,F163="USD",E163*$V$6)</f>
        <v>5191.5074999999997</v>
      </c>
      <c r="M163" s="3" cm="1">
        <f t="array" ref="M163">_xlfn.IFS(G163="Paid", L163, G163="Partial", L163*0.5, G163="Open", 0)</f>
        <v>2595.7537499999999</v>
      </c>
      <c r="N163" s="3" cm="1">
        <f t="array" ref="N163">_xlfn.IFS(G163="Open", L163, G163="Partial", L163*0.5, G163="Paid", 0)</f>
        <v>2595.7537499999999</v>
      </c>
    </row>
    <row r="164" spans="1:14" x14ac:dyDescent="0.25">
      <c r="A164" t="s">
        <v>168</v>
      </c>
      <c r="B164" t="s">
        <v>810</v>
      </c>
      <c r="C164" s="5">
        <v>45325</v>
      </c>
      <c r="D164" s="5">
        <v>45355</v>
      </c>
      <c r="E164" s="3">
        <v>3588.69</v>
      </c>
      <c r="F164" t="s">
        <v>815</v>
      </c>
      <c r="G164" t="s">
        <v>817</v>
      </c>
      <c r="H164" s="5" t="s">
        <v>825</v>
      </c>
      <c r="I164" s="7">
        <f t="shared" si="2"/>
        <v>751</v>
      </c>
      <c r="J164" s="13" t="str" cm="1">
        <f t="array" ref="J164">_xlfn.IFS(I164=0, "Settled", I164&lt;=30, "1-30", I164&lt;=90, "31-90", I164&lt;=365, "91-365", I164&gt;365, "1 Year+")</f>
        <v>1 Year+</v>
      </c>
      <c r="K164" t="s">
        <v>819</v>
      </c>
      <c r="L164" s="3" cm="1">
        <f t="array" ref="L164">_xlfn.IFS(F164="AUD",E164*$V$2,F164="CAD",E164*$V$3,F164="EUR",E164*$V$4,F164="GBP",E164*$V$5,F164="USD",E164*$V$6)</f>
        <v>5203.6004999999996</v>
      </c>
      <c r="M164" s="3" cm="1">
        <f t="array" ref="M164">_xlfn.IFS(G164="Paid", L164, G164="Partial", L164*0.5, G164="Open", 0)</f>
        <v>2601.8002499999998</v>
      </c>
      <c r="N164" s="3" cm="1">
        <f t="array" ref="N164">_xlfn.IFS(G164="Open", L164, G164="Partial", L164*0.5, G164="Paid", 0)</f>
        <v>2601.8002499999998</v>
      </c>
    </row>
    <row r="165" spans="1:14" x14ac:dyDescent="0.25">
      <c r="A165" t="s">
        <v>169</v>
      </c>
      <c r="B165" t="s">
        <v>810</v>
      </c>
      <c r="C165" s="5">
        <v>45586</v>
      </c>
      <c r="D165" s="5">
        <v>45616</v>
      </c>
      <c r="E165" s="3">
        <v>2407.4</v>
      </c>
      <c r="F165" t="s">
        <v>812</v>
      </c>
      <c r="G165" t="s">
        <v>817</v>
      </c>
      <c r="H165" s="5" t="s">
        <v>825</v>
      </c>
      <c r="I165" s="7">
        <f t="shared" si="2"/>
        <v>490</v>
      </c>
      <c r="J165" s="13" t="str" cm="1">
        <f t="array" ref="J165">_xlfn.IFS(I165=0, "Settled", I165&lt;=30, "1-30", I165&lt;=90, "31-90", I165&lt;=365, "91-365", I165&gt;365, "1 Year+")</f>
        <v>1 Year+</v>
      </c>
      <c r="K165" t="s">
        <v>819</v>
      </c>
      <c r="L165" s="3" cm="1">
        <f t="array" ref="L165">_xlfn.IFS(F165="AUD",E165*$V$2,F165="CAD",E165*$V$3,F165="EUR",E165*$V$4,F165="GBP",E165*$V$5,F165="USD",E165*$V$6)</f>
        <v>3322.212</v>
      </c>
      <c r="M165" s="3" cm="1">
        <f t="array" ref="M165">_xlfn.IFS(G165="Paid", L165, G165="Partial", L165*0.5, G165="Open", 0)</f>
        <v>1661.106</v>
      </c>
      <c r="N165" s="3" cm="1">
        <f t="array" ref="N165">_xlfn.IFS(G165="Open", L165, G165="Partial", L165*0.5, G165="Paid", 0)</f>
        <v>1661.106</v>
      </c>
    </row>
    <row r="166" spans="1:14" x14ac:dyDescent="0.25">
      <c r="A166" t="s">
        <v>170</v>
      </c>
      <c r="B166" t="s">
        <v>810</v>
      </c>
      <c r="C166" s="5">
        <v>45017</v>
      </c>
      <c r="D166" s="5">
        <v>45047</v>
      </c>
      <c r="E166" s="3">
        <v>649.78</v>
      </c>
      <c r="F166" t="s">
        <v>812</v>
      </c>
      <c r="G166" t="s">
        <v>817</v>
      </c>
      <c r="H166" s="5" t="s">
        <v>825</v>
      </c>
      <c r="I166" s="7">
        <f t="shared" si="2"/>
        <v>1059</v>
      </c>
      <c r="J166" s="13" t="str" cm="1">
        <f t="array" ref="J166">_xlfn.IFS(I166=0, "Settled", I166&lt;=30, "1-30", I166&lt;=90, "31-90", I166&lt;=365, "91-365", I166&gt;365, "1 Year+")</f>
        <v>1 Year+</v>
      </c>
      <c r="K166" t="s">
        <v>819</v>
      </c>
      <c r="L166" s="3" cm="1">
        <f t="array" ref="L166">_xlfn.IFS(F166="AUD",E166*$V$2,F166="CAD",E166*$V$3,F166="EUR",E166*$V$4,F166="GBP",E166*$V$5,F166="USD",E166*$V$6)</f>
        <v>896.69639999999993</v>
      </c>
      <c r="M166" s="3" cm="1">
        <f t="array" ref="M166">_xlfn.IFS(G166="Paid", L166, G166="Partial", L166*0.5, G166="Open", 0)</f>
        <v>448.34819999999996</v>
      </c>
      <c r="N166" s="3" cm="1">
        <f t="array" ref="N166">_xlfn.IFS(G166="Open", L166, G166="Partial", L166*0.5, G166="Paid", 0)</f>
        <v>448.34819999999996</v>
      </c>
    </row>
    <row r="167" spans="1:14" x14ac:dyDescent="0.25">
      <c r="A167" t="s">
        <v>171</v>
      </c>
      <c r="B167" t="s">
        <v>808</v>
      </c>
      <c r="C167" s="5">
        <v>45549</v>
      </c>
      <c r="D167" s="5">
        <v>45579</v>
      </c>
      <c r="E167" s="3">
        <v>143.83000000000001</v>
      </c>
      <c r="F167" t="s">
        <v>812</v>
      </c>
      <c r="G167" t="s">
        <v>818</v>
      </c>
      <c r="H167" s="5">
        <v>45579</v>
      </c>
      <c r="I167" s="7">
        <f t="shared" si="2"/>
        <v>0</v>
      </c>
      <c r="J167" s="13" t="str" cm="1">
        <f t="array" ref="J167">_xlfn.IFS(I167=0, "Settled", I167&lt;=30, "1-30", I167&lt;=90, "31-90", I167&lt;=365, "91-365", I167&gt;365, "1 Year+")</f>
        <v>Settled</v>
      </c>
      <c r="K167" t="s">
        <v>819</v>
      </c>
      <c r="L167" s="3" cm="1">
        <f t="array" ref="L167">_xlfn.IFS(F167="AUD",E167*$V$2,F167="CAD",E167*$V$3,F167="EUR",E167*$V$4,F167="GBP",E167*$V$5,F167="USD",E167*$V$6)</f>
        <v>198.4854</v>
      </c>
      <c r="M167" s="3" cm="1">
        <f t="array" ref="M167">_xlfn.IFS(G167="Paid", L167, G167="Partial", L167*0.5, G167="Open", 0)</f>
        <v>198.4854</v>
      </c>
      <c r="N167" s="3" cm="1">
        <f t="array" ref="N167">_xlfn.IFS(G167="Open", L167, G167="Partial", L167*0.5, G167="Paid", 0)</f>
        <v>0</v>
      </c>
    </row>
    <row r="168" spans="1:14" x14ac:dyDescent="0.25">
      <c r="A168" t="s">
        <v>172</v>
      </c>
      <c r="B168" t="s">
        <v>809</v>
      </c>
      <c r="C168" s="5">
        <v>45813</v>
      </c>
      <c r="D168" s="5">
        <v>45843</v>
      </c>
      <c r="E168" s="3">
        <v>1041.99</v>
      </c>
      <c r="F168" t="s">
        <v>814</v>
      </c>
      <c r="G168" t="s">
        <v>816</v>
      </c>
      <c r="H168" s="5" t="s">
        <v>825</v>
      </c>
      <c r="I168" s="7">
        <f t="shared" si="2"/>
        <v>263</v>
      </c>
      <c r="J168" s="13" t="str" cm="1">
        <f t="array" ref="J168">_xlfn.IFS(I168=0, "Settled", I168&lt;=30, "1-30", I168&lt;=90, "31-90", I168&lt;=365, "91-365", I168&gt;365, "1 Year+")</f>
        <v>91-365</v>
      </c>
      <c r="K168" t="s">
        <v>819</v>
      </c>
      <c r="L168" s="3" cm="1">
        <f t="array" ref="L168">_xlfn.IFS(F168="AUD",E168*$V$2,F168="CAD",E168*$V$3,F168="EUR",E168*$V$4,F168="GBP",E168*$V$5,F168="USD",E168*$V$6)</f>
        <v>1041.99</v>
      </c>
      <c r="M168" s="3" cm="1">
        <f t="array" ref="M168">_xlfn.IFS(G168="Paid", L168, G168="Partial", L168*0.5, G168="Open", 0)</f>
        <v>0</v>
      </c>
      <c r="N168" s="3" cm="1">
        <f t="array" ref="N168">_xlfn.IFS(G168="Open", L168, G168="Partial", L168*0.5, G168="Paid", 0)</f>
        <v>1041.99</v>
      </c>
    </row>
    <row r="169" spans="1:14" x14ac:dyDescent="0.25">
      <c r="A169" t="s">
        <v>173</v>
      </c>
      <c r="B169" t="s">
        <v>806</v>
      </c>
      <c r="C169" s="5">
        <v>45088</v>
      </c>
      <c r="D169" s="5">
        <v>45118</v>
      </c>
      <c r="E169" s="3">
        <v>2826</v>
      </c>
      <c r="F169" t="s">
        <v>812</v>
      </c>
      <c r="G169" t="s">
        <v>816</v>
      </c>
      <c r="H169" s="5" t="s">
        <v>825</v>
      </c>
      <c r="I169" s="7">
        <f t="shared" si="2"/>
        <v>988</v>
      </c>
      <c r="J169" s="13" t="str" cm="1">
        <f t="array" ref="J169">_xlfn.IFS(I169=0, "Settled", I169&lt;=30, "1-30", I169&lt;=90, "31-90", I169&lt;=365, "91-365", I169&gt;365, "1 Year+")</f>
        <v>1 Year+</v>
      </c>
      <c r="K169" t="s">
        <v>819</v>
      </c>
      <c r="L169" s="3" cm="1">
        <f t="array" ref="L169">_xlfn.IFS(F169="AUD",E169*$V$2,F169="CAD",E169*$V$3,F169="EUR",E169*$V$4,F169="GBP",E169*$V$5,F169="USD",E169*$V$6)</f>
        <v>3899.8799999999997</v>
      </c>
      <c r="M169" s="3" cm="1">
        <f t="array" ref="M169">_xlfn.IFS(G169="Paid", L169, G169="Partial", L169*0.5, G169="Open", 0)</f>
        <v>0</v>
      </c>
      <c r="N169" s="3" cm="1">
        <f t="array" ref="N169">_xlfn.IFS(G169="Open", L169, G169="Partial", L169*0.5, G169="Paid", 0)</f>
        <v>3899.8799999999997</v>
      </c>
    </row>
    <row r="170" spans="1:14" x14ac:dyDescent="0.25">
      <c r="A170" t="s">
        <v>174</v>
      </c>
      <c r="B170" t="s">
        <v>806</v>
      </c>
      <c r="C170" s="5">
        <v>45637</v>
      </c>
      <c r="D170" s="5">
        <v>45667</v>
      </c>
      <c r="E170" s="3">
        <v>3078.5</v>
      </c>
      <c r="F170" t="s">
        <v>813</v>
      </c>
      <c r="G170" t="s">
        <v>818</v>
      </c>
      <c r="H170" s="5">
        <v>45667</v>
      </c>
      <c r="I170" s="7">
        <f t="shared" si="2"/>
        <v>0</v>
      </c>
      <c r="J170" s="13" t="str" cm="1">
        <f t="array" ref="J170">_xlfn.IFS(I170=0, "Settled", I170&lt;=30, "1-30", I170&lt;=90, "31-90", I170&lt;=365, "91-365", I170&gt;365, "1 Year+")</f>
        <v>Settled</v>
      </c>
      <c r="K170" t="s">
        <v>819</v>
      </c>
      <c r="L170" s="3" cm="1">
        <f t="array" ref="L170">_xlfn.IFS(F170="AUD",E170*$V$2,F170="CAD",E170*$V$3,F170="EUR",E170*$V$4,F170="GBP",E170*$V$5,F170="USD",E170*$V$6)</f>
        <v>2308.875</v>
      </c>
      <c r="M170" s="3" cm="1">
        <f t="array" ref="M170">_xlfn.IFS(G170="Paid", L170, G170="Partial", L170*0.5, G170="Open", 0)</f>
        <v>2308.875</v>
      </c>
      <c r="N170" s="3" cm="1">
        <f t="array" ref="N170">_xlfn.IFS(G170="Open", L170, G170="Partial", L170*0.5, G170="Paid", 0)</f>
        <v>0</v>
      </c>
    </row>
    <row r="171" spans="1:14" x14ac:dyDescent="0.25">
      <c r="A171" t="s">
        <v>175</v>
      </c>
      <c r="B171" t="s">
        <v>807</v>
      </c>
      <c r="C171" s="5">
        <v>45748</v>
      </c>
      <c r="D171" s="5">
        <v>45778</v>
      </c>
      <c r="E171" s="3">
        <v>3139.88</v>
      </c>
      <c r="F171" t="s">
        <v>815</v>
      </c>
      <c r="G171" t="s">
        <v>817</v>
      </c>
      <c r="H171" s="5" t="s">
        <v>825</v>
      </c>
      <c r="I171" s="7">
        <f t="shared" si="2"/>
        <v>328</v>
      </c>
      <c r="J171" s="13" t="str" cm="1">
        <f t="array" ref="J171">_xlfn.IFS(I171=0, "Settled", I171&lt;=30, "1-30", I171&lt;=90, "31-90", I171&lt;=365, "91-365", I171&gt;365, "1 Year+")</f>
        <v>91-365</v>
      </c>
      <c r="K171" t="s">
        <v>819</v>
      </c>
      <c r="L171" s="3" cm="1">
        <f t="array" ref="L171">_xlfn.IFS(F171="AUD",E171*$V$2,F171="CAD",E171*$V$3,F171="EUR",E171*$V$4,F171="GBP",E171*$V$5,F171="USD",E171*$V$6)</f>
        <v>4552.826</v>
      </c>
      <c r="M171" s="3" cm="1">
        <f t="array" ref="M171">_xlfn.IFS(G171="Paid", L171, G171="Partial", L171*0.5, G171="Open", 0)</f>
        <v>2276.413</v>
      </c>
      <c r="N171" s="3" cm="1">
        <f t="array" ref="N171">_xlfn.IFS(G171="Open", L171, G171="Partial", L171*0.5, G171="Paid", 0)</f>
        <v>2276.413</v>
      </c>
    </row>
    <row r="172" spans="1:14" x14ac:dyDescent="0.25">
      <c r="A172" t="s">
        <v>176</v>
      </c>
      <c r="B172" t="s">
        <v>810</v>
      </c>
      <c r="C172" s="5">
        <v>45043</v>
      </c>
      <c r="D172" s="5">
        <v>45073</v>
      </c>
      <c r="E172" s="3">
        <v>4899.6400000000003</v>
      </c>
      <c r="F172" t="s">
        <v>815</v>
      </c>
      <c r="G172" t="s">
        <v>818</v>
      </c>
      <c r="H172" s="5">
        <v>45073</v>
      </c>
      <c r="I172" s="7">
        <f t="shared" si="2"/>
        <v>0</v>
      </c>
      <c r="J172" s="13" t="str" cm="1">
        <f t="array" ref="J172">_xlfn.IFS(I172=0, "Settled", I172&lt;=30, "1-30", I172&lt;=90, "31-90", I172&lt;=365, "91-365", I172&gt;365, "1 Year+")</f>
        <v>Settled</v>
      </c>
      <c r="K172" t="s">
        <v>819</v>
      </c>
      <c r="L172" s="3" cm="1">
        <f t="array" ref="L172">_xlfn.IFS(F172="AUD",E172*$V$2,F172="CAD",E172*$V$3,F172="EUR",E172*$V$4,F172="GBP",E172*$V$5,F172="USD",E172*$V$6)</f>
        <v>7104.4780000000001</v>
      </c>
      <c r="M172" s="3" cm="1">
        <f t="array" ref="M172">_xlfn.IFS(G172="Paid", L172, G172="Partial", L172*0.5, G172="Open", 0)</f>
        <v>7104.4780000000001</v>
      </c>
      <c r="N172" s="3" cm="1">
        <f t="array" ref="N172">_xlfn.IFS(G172="Open", L172, G172="Partial", L172*0.5, G172="Paid", 0)</f>
        <v>0</v>
      </c>
    </row>
    <row r="173" spans="1:14" x14ac:dyDescent="0.25">
      <c r="A173" t="s">
        <v>177</v>
      </c>
      <c r="B173" t="s">
        <v>806</v>
      </c>
      <c r="C173" s="5">
        <v>45635</v>
      </c>
      <c r="D173" s="5">
        <v>45665</v>
      </c>
      <c r="E173" s="3">
        <v>3205.33</v>
      </c>
      <c r="F173" t="s">
        <v>814</v>
      </c>
      <c r="G173" t="s">
        <v>817</v>
      </c>
      <c r="H173" s="5" t="s">
        <v>825</v>
      </c>
      <c r="I173" s="7">
        <f t="shared" si="2"/>
        <v>441</v>
      </c>
      <c r="J173" s="13" t="str" cm="1">
        <f t="array" ref="J173">_xlfn.IFS(I173=0, "Settled", I173&lt;=30, "1-30", I173&lt;=90, "31-90", I173&lt;=365, "91-365", I173&gt;365, "1 Year+")</f>
        <v>1 Year+</v>
      </c>
      <c r="K173" t="s">
        <v>819</v>
      </c>
      <c r="L173" s="3" cm="1">
        <f t="array" ref="L173">_xlfn.IFS(F173="AUD",E173*$V$2,F173="CAD",E173*$V$3,F173="EUR",E173*$V$4,F173="GBP",E173*$V$5,F173="USD",E173*$V$6)</f>
        <v>3205.33</v>
      </c>
      <c r="M173" s="3" cm="1">
        <f t="array" ref="M173">_xlfn.IFS(G173="Paid", L173, G173="Partial", L173*0.5, G173="Open", 0)</f>
        <v>1602.665</v>
      </c>
      <c r="N173" s="3" cm="1">
        <f t="array" ref="N173">_xlfn.IFS(G173="Open", L173, G173="Partial", L173*0.5, G173="Paid", 0)</f>
        <v>1602.665</v>
      </c>
    </row>
    <row r="174" spans="1:14" x14ac:dyDescent="0.25">
      <c r="A174" t="s">
        <v>178</v>
      </c>
      <c r="B174" t="s">
        <v>808</v>
      </c>
      <c r="C174" s="5">
        <v>45605</v>
      </c>
      <c r="D174" s="5">
        <v>45635</v>
      </c>
      <c r="E174" s="3">
        <v>1285.77</v>
      </c>
      <c r="F174" t="s">
        <v>814</v>
      </c>
      <c r="G174" t="s">
        <v>817</v>
      </c>
      <c r="H174" s="5" t="s">
        <v>825</v>
      </c>
      <c r="I174" s="7">
        <f t="shared" si="2"/>
        <v>471</v>
      </c>
      <c r="J174" s="13" t="str" cm="1">
        <f t="array" ref="J174">_xlfn.IFS(I174=0, "Settled", I174&lt;=30, "1-30", I174&lt;=90, "31-90", I174&lt;=365, "91-365", I174&gt;365, "1 Year+")</f>
        <v>1 Year+</v>
      </c>
      <c r="K174" t="s">
        <v>819</v>
      </c>
      <c r="L174" s="3" cm="1">
        <f t="array" ref="L174">_xlfn.IFS(F174="AUD",E174*$V$2,F174="CAD",E174*$V$3,F174="EUR",E174*$V$4,F174="GBP",E174*$V$5,F174="USD",E174*$V$6)</f>
        <v>1285.77</v>
      </c>
      <c r="M174" s="3" cm="1">
        <f t="array" ref="M174">_xlfn.IFS(G174="Paid", L174, G174="Partial", L174*0.5, G174="Open", 0)</f>
        <v>642.88499999999999</v>
      </c>
      <c r="N174" s="3" cm="1">
        <f t="array" ref="N174">_xlfn.IFS(G174="Open", L174, G174="Partial", L174*0.5, G174="Paid", 0)</f>
        <v>642.88499999999999</v>
      </c>
    </row>
    <row r="175" spans="1:14" x14ac:dyDescent="0.25">
      <c r="A175" t="s">
        <v>179</v>
      </c>
      <c r="B175" t="s">
        <v>806</v>
      </c>
      <c r="C175" s="5">
        <v>45828</v>
      </c>
      <c r="D175" s="5">
        <v>45858</v>
      </c>
      <c r="E175" s="3">
        <v>216.78</v>
      </c>
      <c r="F175" t="s">
        <v>814</v>
      </c>
      <c r="G175" t="s">
        <v>817</v>
      </c>
      <c r="H175" s="5" t="s">
        <v>825</v>
      </c>
      <c r="I175" s="7">
        <f t="shared" si="2"/>
        <v>248</v>
      </c>
      <c r="J175" s="13" t="str" cm="1">
        <f t="array" ref="J175">_xlfn.IFS(I175=0, "Settled", I175&lt;=30, "1-30", I175&lt;=90, "31-90", I175&lt;=365, "91-365", I175&gt;365, "1 Year+")</f>
        <v>91-365</v>
      </c>
      <c r="K175" t="s">
        <v>819</v>
      </c>
      <c r="L175" s="3" cm="1">
        <f t="array" ref="L175">_xlfn.IFS(F175="AUD",E175*$V$2,F175="CAD",E175*$V$3,F175="EUR",E175*$V$4,F175="GBP",E175*$V$5,F175="USD",E175*$V$6)</f>
        <v>216.78</v>
      </c>
      <c r="M175" s="3" cm="1">
        <f t="array" ref="M175">_xlfn.IFS(G175="Paid", L175, G175="Partial", L175*0.5, G175="Open", 0)</f>
        <v>108.39</v>
      </c>
      <c r="N175" s="3" cm="1">
        <f t="array" ref="N175">_xlfn.IFS(G175="Open", L175, G175="Partial", L175*0.5, G175="Paid", 0)</f>
        <v>108.39</v>
      </c>
    </row>
    <row r="176" spans="1:14" x14ac:dyDescent="0.25">
      <c r="A176" t="s">
        <v>180</v>
      </c>
      <c r="B176" t="s">
        <v>810</v>
      </c>
      <c r="C176" s="5">
        <v>44990</v>
      </c>
      <c r="D176" s="5">
        <v>45020</v>
      </c>
      <c r="E176" s="3">
        <v>4512.7700000000004</v>
      </c>
      <c r="F176" t="s">
        <v>812</v>
      </c>
      <c r="G176" t="s">
        <v>817</v>
      </c>
      <c r="H176" s="5" t="s">
        <v>825</v>
      </c>
      <c r="I176" s="7">
        <f t="shared" si="2"/>
        <v>1086</v>
      </c>
      <c r="J176" s="13" t="str" cm="1">
        <f t="array" ref="J176">_xlfn.IFS(I176=0, "Settled", I176&lt;=30, "1-30", I176&lt;=90, "31-90", I176&lt;=365, "91-365", I176&gt;365, "1 Year+")</f>
        <v>1 Year+</v>
      </c>
      <c r="K176" t="s">
        <v>819</v>
      </c>
      <c r="L176" s="3" cm="1">
        <f t="array" ref="L176">_xlfn.IFS(F176="AUD",E176*$V$2,F176="CAD",E176*$V$3,F176="EUR",E176*$V$4,F176="GBP",E176*$V$5,F176="USD",E176*$V$6)</f>
        <v>6227.6225999999997</v>
      </c>
      <c r="M176" s="3" cm="1">
        <f t="array" ref="M176">_xlfn.IFS(G176="Paid", L176, G176="Partial", L176*0.5, G176="Open", 0)</f>
        <v>3113.8112999999998</v>
      </c>
      <c r="N176" s="3" cm="1">
        <f t="array" ref="N176">_xlfn.IFS(G176="Open", L176, G176="Partial", L176*0.5, G176="Paid", 0)</f>
        <v>3113.8112999999998</v>
      </c>
    </row>
    <row r="177" spans="1:14" x14ac:dyDescent="0.25">
      <c r="A177" t="s">
        <v>181</v>
      </c>
      <c r="B177" t="s">
        <v>807</v>
      </c>
      <c r="C177" s="5">
        <v>45241</v>
      </c>
      <c r="D177" s="5">
        <v>45271</v>
      </c>
      <c r="E177" s="3">
        <v>4283.63</v>
      </c>
      <c r="F177" t="s">
        <v>815</v>
      </c>
      <c r="G177" t="s">
        <v>818</v>
      </c>
      <c r="H177" s="5">
        <v>45271</v>
      </c>
      <c r="I177" s="7">
        <f t="shared" si="2"/>
        <v>0</v>
      </c>
      <c r="J177" s="13" t="str" cm="1">
        <f t="array" ref="J177">_xlfn.IFS(I177=0, "Settled", I177&lt;=30, "1-30", I177&lt;=90, "31-90", I177&lt;=365, "91-365", I177&gt;365, "1 Year+")</f>
        <v>Settled</v>
      </c>
      <c r="K177" t="s">
        <v>819</v>
      </c>
      <c r="L177" s="3" cm="1">
        <f t="array" ref="L177">_xlfn.IFS(F177="AUD",E177*$V$2,F177="CAD",E177*$V$3,F177="EUR",E177*$V$4,F177="GBP",E177*$V$5,F177="USD",E177*$V$6)</f>
        <v>6211.2635</v>
      </c>
      <c r="M177" s="3" cm="1">
        <f t="array" ref="M177">_xlfn.IFS(G177="Paid", L177, G177="Partial", L177*0.5, G177="Open", 0)</f>
        <v>6211.2635</v>
      </c>
      <c r="N177" s="3" cm="1">
        <f t="array" ref="N177">_xlfn.IFS(G177="Open", L177, G177="Partial", L177*0.5, G177="Paid", 0)</f>
        <v>0</v>
      </c>
    </row>
    <row r="178" spans="1:14" x14ac:dyDescent="0.25">
      <c r="A178" t="s">
        <v>182</v>
      </c>
      <c r="B178" t="s">
        <v>806</v>
      </c>
      <c r="C178" s="5">
        <v>45564</v>
      </c>
      <c r="D178" s="5">
        <v>45594</v>
      </c>
      <c r="E178" s="3">
        <v>370.46</v>
      </c>
      <c r="F178" t="s">
        <v>812</v>
      </c>
      <c r="G178" t="s">
        <v>818</v>
      </c>
      <c r="H178" s="5">
        <v>45594</v>
      </c>
      <c r="I178" s="7">
        <f t="shared" si="2"/>
        <v>0</v>
      </c>
      <c r="J178" s="13" t="str" cm="1">
        <f t="array" ref="J178">_xlfn.IFS(I178=0, "Settled", I178&lt;=30, "1-30", I178&lt;=90, "31-90", I178&lt;=365, "91-365", I178&gt;365, "1 Year+")</f>
        <v>Settled</v>
      </c>
      <c r="K178" t="s">
        <v>819</v>
      </c>
      <c r="L178" s="3" cm="1">
        <f t="array" ref="L178">_xlfn.IFS(F178="AUD",E178*$V$2,F178="CAD",E178*$V$3,F178="EUR",E178*$V$4,F178="GBP",E178*$V$5,F178="USD",E178*$V$6)</f>
        <v>511.23479999999995</v>
      </c>
      <c r="M178" s="3" cm="1">
        <f t="array" ref="M178">_xlfn.IFS(G178="Paid", L178, G178="Partial", L178*0.5, G178="Open", 0)</f>
        <v>511.23479999999995</v>
      </c>
      <c r="N178" s="3" cm="1">
        <f t="array" ref="N178">_xlfn.IFS(G178="Open", L178, G178="Partial", L178*0.5, G178="Paid", 0)</f>
        <v>0</v>
      </c>
    </row>
    <row r="179" spans="1:14" x14ac:dyDescent="0.25">
      <c r="A179" t="s">
        <v>183</v>
      </c>
      <c r="B179" t="s">
        <v>809</v>
      </c>
      <c r="C179" s="5">
        <v>45453</v>
      </c>
      <c r="D179" s="5">
        <v>45483</v>
      </c>
      <c r="E179" s="3">
        <v>3313.07</v>
      </c>
      <c r="F179" t="s">
        <v>811</v>
      </c>
      <c r="G179" t="s">
        <v>816</v>
      </c>
      <c r="H179" s="5" t="s">
        <v>825</v>
      </c>
      <c r="I179" s="7">
        <f t="shared" si="2"/>
        <v>623</v>
      </c>
      <c r="J179" s="13" t="str" cm="1">
        <f t="array" ref="J179">_xlfn.IFS(I179=0, "Settled", I179&lt;=30, "1-30", I179&lt;=90, "31-90", I179&lt;=365, "91-365", I179&gt;365, "1 Year+")</f>
        <v>1 Year+</v>
      </c>
      <c r="K179" t="s">
        <v>819</v>
      </c>
      <c r="L179" s="3" cm="1">
        <f t="array" ref="L179">_xlfn.IFS(F179="AUD",E179*$V$2,F179="CAD",E179*$V$3,F179="EUR",E179*$V$4,F179="GBP",E179*$V$5,F179="USD",E179*$V$6)</f>
        <v>2849.2402000000002</v>
      </c>
      <c r="M179" s="3" cm="1">
        <f t="array" ref="M179">_xlfn.IFS(G179="Paid", L179, G179="Partial", L179*0.5, G179="Open", 0)</f>
        <v>0</v>
      </c>
      <c r="N179" s="3" cm="1">
        <f t="array" ref="N179">_xlfn.IFS(G179="Open", L179, G179="Partial", L179*0.5, G179="Paid", 0)</f>
        <v>2849.2402000000002</v>
      </c>
    </row>
    <row r="180" spans="1:14" x14ac:dyDescent="0.25">
      <c r="A180" t="s">
        <v>184</v>
      </c>
      <c r="B180" t="s">
        <v>808</v>
      </c>
      <c r="C180" s="5">
        <v>45253</v>
      </c>
      <c r="D180" s="5">
        <v>45283</v>
      </c>
      <c r="E180" s="3">
        <v>4616.42</v>
      </c>
      <c r="F180" t="s">
        <v>814</v>
      </c>
      <c r="G180" t="s">
        <v>818</v>
      </c>
      <c r="H180" s="5">
        <v>45283</v>
      </c>
      <c r="I180" s="7">
        <f t="shared" si="2"/>
        <v>0</v>
      </c>
      <c r="J180" s="13" t="str" cm="1">
        <f t="array" ref="J180">_xlfn.IFS(I180=0, "Settled", I180&lt;=30, "1-30", I180&lt;=90, "31-90", I180&lt;=365, "91-365", I180&gt;365, "1 Year+")</f>
        <v>Settled</v>
      </c>
      <c r="K180" t="s">
        <v>819</v>
      </c>
      <c r="L180" s="3" cm="1">
        <f t="array" ref="L180">_xlfn.IFS(F180="AUD",E180*$V$2,F180="CAD",E180*$V$3,F180="EUR",E180*$V$4,F180="GBP",E180*$V$5,F180="USD",E180*$V$6)</f>
        <v>4616.42</v>
      </c>
      <c r="M180" s="3" cm="1">
        <f t="array" ref="M180">_xlfn.IFS(G180="Paid", L180, G180="Partial", L180*0.5, G180="Open", 0)</f>
        <v>4616.42</v>
      </c>
      <c r="N180" s="3" cm="1">
        <f t="array" ref="N180">_xlfn.IFS(G180="Open", L180, G180="Partial", L180*0.5, G180="Paid", 0)</f>
        <v>0</v>
      </c>
    </row>
    <row r="181" spans="1:14" x14ac:dyDescent="0.25">
      <c r="A181" t="s">
        <v>185</v>
      </c>
      <c r="B181" t="s">
        <v>808</v>
      </c>
      <c r="C181" s="5">
        <v>44998</v>
      </c>
      <c r="D181" s="5">
        <v>45028</v>
      </c>
      <c r="E181" s="3">
        <v>1731.08</v>
      </c>
      <c r="F181" t="s">
        <v>814</v>
      </c>
      <c r="G181" t="s">
        <v>816</v>
      </c>
      <c r="H181" s="5" t="s">
        <v>825</v>
      </c>
      <c r="I181" s="7">
        <f t="shared" si="2"/>
        <v>1078</v>
      </c>
      <c r="J181" s="13" t="str" cm="1">
        <f t="array" ref="J181">_xlfn.IFS(I181=0, "Settled", I181&lt;=30, "1-30", I181&lt;=90, "31-90", I181&lt;=365, "91-365", I181&gt;365, "1 Year+")</f>
        <v>1 Year+</v>
      </c>
      <c r="K181" t="s">
        <v>819</v>
      </c>
      <c r="L181" s="3" cm="1">
        <f t="array" ref="L181">_xlfn.IFS(F181="AUD",E181*$V$2,F181="CAD",E181*$V$3,F181="EUR",E181*$V$4,F181="GBP",E181*$V$5,F181="USD",E181*$V$6)</f>
        <v>1731.08</v>
      </c>
      <c r="M181" s="3" cm="1">
        <f t="array" ref="M181">_xlfn.IFS(G181="Paid", L181, G181="Partial", L181*0.5, G181="Open", 0)</f>
        <v>0</v>
      </c>
      <c r="N181" s="3" cm="1">
        <f t="array" ref="N181">_xlfn.IFS(G181="Open", L181, G181="Partial", L181*0.5, G181="Paid", 0)</f>
        <v>1731.08</v>
      </c>
    </row>
    <row r="182" spans="1:14" x14ac:dyDescent="0.25">
      <c r="A182" t="s">
        <v>186</v>
      </c>
      <c r="B182" t="s">
        <v>806</v>
      </c>
      <c r="C182" s="5">
        <v>45693</v>
      </c>
      <c r="D182" s="5">
        <v>45723</v>
      </c>
      <c r="E182" s="3">
        <v>4027.83</v>
      </c>
      <c r="F182" t="s">
        <v>812</v>
      </c>
      <c r="G182" t="s">
        <v>817</v>
      </c>
      <c r="H182" s="5" t="s">
        <v>825</v>
      </c>
      <c r="I182" s="7">
        <f t="shared" si="2"/>
        <v>383</v>
      </c>
      <c r="J182" s="13" t="str" cm="1">
        <f t="array" ref="J182">_xlfn.IFS(I182=0, "Settled", I182&lt;=30, "1-30", I182&lt;=90, "31-90", I182&lt;=365, "91-365", I182&gt;365, "1 Year+")</f>
        <v>1 Year+</v>
      </c>
      <c r="K182" t="s">
        <v>819</v>
      </c>
      <c r="L182" s="3" cm="1">
        <f t="array" ref="L182">_xlfn.IFS(F182="AUD",E182*$V$2,F182="CAD",E182*$V$3,F182="EUR",E182*$V$4,F182="GBP",E182*$V$5,F182="USD",E182*$V$6)</f>
        <v>5558.4053999999996</v>
      </c>
      <c r="M182" s="3" cm="1">
        <f t="array" ref="M182">_xlfn.IFS(G182="Paid", L182, G182="Partial", L182*0.5, G182="Open", 0)</f>
        <v>2779.2026999999998</v>
      </c>
      <c r="N182" s="3" cm="1">
        <f t="array" ref="N182">_xlfn.IFS(G182="Open", L182, G182="Partial", L182*0.5, G182="Paid", 0)</f>
        <v>2779.2026999999998</v>
      </c>
    </row>
    <row r="183" spans="1:14" x14ac:dyDescent="0.25">
      <c r="A183" t="s">
        <v>187</v>
      </c>
      <c r="B183" t="s">
        <v>810</v>
      </c>
      <c r="C183" s="5">
        <v>45498</v>
      </c>
      <c r="D183" s="5">
        <v>45528</v>
      </c>
      <c r="E183" s="3">
        <v>1770.47</v>
      </c>
      <c r="F183" t="s">
        <v>812</v>
      </c>
      <c r="G183" t="s">
        <v>818</v>
      </c>
      <c r="H183" s="5">
        <v>45528</v>
      </c>
      <c r="I183" s="7">
        <f t="shared" si="2"/>
        <v>0</v>
      </c>
      <c r="J183" s="13" t="str" cm="1">
        <f t="array" ref="J183">_xlfn.IFS(I183=0, "Settled", I183&lt;=30, "1-30", I183&lt;=90, "31-90", I183&lt;=365, "91-365", I183&gt;365, "1 Year+")</f>
        <v>Settled</v>
      </c>
      <c r="K183" t="s">
        <v>819</v>
      </c>
      <c r="L183" s="3" cm="1">
        <f t="array" ref="L183">_xlfn.IFS(F183="AUD",E183*$V$2,F183="CAD",E183*$V$3,F183="EUR",E183*$V$4,F183="GBP",E183*$V$5,F183="USD",E183*$V$6)</f>
        <v>2443.2485999999999</v>
      </c>
      <c r="M183" s="3" cm="1">
        <f t="array" ref="M183">_xlfn.IFS(G183="Paid", L183, G183="Partial", L183*0.5, G183="Open", 0)</f>
        <v>2443.2485999999999</v>
      </c>
      <c r="N183" s="3" cm="1">
        <f t="array" ref="N183">_xlfn.IFS(G183="Open", L183, G183="Partial", L183*0.5, G183="Paid", 0)</f>
        <v>0</v>
      </c>
    </row>
    <row r="184" spans="1:14" x14ac:dyDescent="0.25">
      <c r="A184" t="s">
        <v>188</v>
      </c>
      <c r="B184" t="s">
        <v>807</v>
      </c>
      <c r="C184" s="5">
        <v>45646</v>
      </c>
      <c r="D184" s="5">
        <v>45676</v>
      </c>
      <c r="E184" s="3">
        <v>4140.83</v>
      </c>
      <c r="F184" t="s">
        <v>811</v>
      </c>
      <c r="G184" t="s">
        <v>818</v>
      </c>
      <c r="H184" s="5">
        <v>45676</v>
      </c>
      <c r="I184" s="7">
        <f t="shared" si="2"/>
        <v>0</v>
      </c>
      <c r="J184" s="13" t="str" cm="1">
        <f t="array" ref="J184">_xlfn.IFS(I184=0, "Settled", I184&lt;=30, "1-30", I184&lt;=90, "31-90", I184&lt;=365, "91-365", I184&gt;365, "1 Year+")</f>
        <v>Settled</v>
      </c>
      <c r="K184" t="s">
        <v>819</v>
      </c>
      <c r="L184" s="3" cm="1">
        <f t="array" ref="L184">_xlfn.IFS(F184="AUD",E184*$V$2,F184="CAD",E184*$V$3,F184="EUR",E184*$V$4,F184="GBP",E184*$V$5,F184="USD",E184*$V$6)</f>
        <v>3561.1138000000001</v>
      </c>
      <c r="M184" s="3" cm="1">
        <f t="array" ref="M184">_xlfn.IFS(G184="Paid", L184, G184="Partial", L184*0.5, G184="Open", 0)</f>
        <v>3561.1138000000001</v>
      </c>
      <c r="N184" s="3" cm="1">
        <f t="array" ref="N184">_xlfn.IFS(G184="Open", L184, G184="Partial", L184*0.5, G184="Paid", 0)</f>
        <v>0</v>
      </c>
    </row>
    <row r="185" spans="1:14" x14ac:dyDescent="0.25">
      <c r="A185" t="s">
        <v>189</v>
      </c>
      <c r="B185" t="s">
        <v>808</v>
      </c>
      <c r="C185" s="5">
        <v>45763</v>
      </c>
      <c r="D185" s="5">
        <v>45793</v>
      </c>
      <c r="E185" s="3">
        <v>606.74</v>
      </c>
      <c r="F185" t="s">
        <v>811</v>
      </c>
      <c r="G185" t="s">
        <v>817</v>
      </c>
      <c r="H185" s="5" t="s">
        <v>825</v>
      </c>
      <c r="I185" s="7">
        <f t="shared" si="2"/>
        <v>313</v>
      </c>
      <c r="J185" s="13" t="str" cm="1">
        <f t="array" ref="J185">_xlfn.IFS(I185=0, "Settled", I185&lt;=30, "1-30", I185&lt;=90, "31-90", I185&lt;=365, "91-365", I185&gt;365, "1 Year+")</f>
        <v>91-365</v>
      </c>
      <c r="K185" t="s">
        <v>819</v>
      </c>
      <c r="L185" s="3" cm="1">
        <f t="array" ref="L185">_xlfn.IFS(F185="AUD",E185*$V$2,F185="CAD",E185*$V$3,F185="EUR",E185*$V$4,F185="GBP",E185*$V$5,F185="USD",E185*$V$6)</f>
        <v>521.79639999999995</v>
      </c>
      <c r="M185" s="3" cm="1">
        <f t="array" ref="M185">_xlfn.IFS(G185="Paid", L185, G185="Partial", L185*0.5, G185="Open", 0)</f>
        <v>260.89819999999997</v>
      </c>
      <c r="N185" s="3" cm="1">
        <f t="array" ref="N185">_xlfn.IFS(G185="Open", L185, G185="Partial", L185*0.5, G185="Paid", 0)</f>
        <v>260.89819999999997</v>
      </c>
    </row>
    <row r="186" spans="1:14" x14ac:dyDescent="0.25">
      <c r="A186" t="s">
        <v>190</v>
      </c>
      <c r="B186" t="s">
        <v>810</v>
      </c>
      <c r="C186" s="5">
        <v>44961</v>
      </c>
      <c r="D186" s="5">
        <v>44991</v>
      </c>
      <c r="E186" s="3">
        <v>3488.56</v>
      </c>
      <c r="F186" t="s">
        <v>813</v>
      </c>
      <c r="G186" t="s">
        <v>816</v>
      </c>
      <c r="H186" s="5" t="s">
        <v>825</v>
      </c>
      <c r="I186" s="7">
        <f t="shared" si="2"/>
        <v>1115</v>
      </c>
      <c r="J186" s="13" t="str" cm="1">
        <f t="array" ref="J186">_xlfn.IFS(I186=0, "Settled", I186&lt;=30, "1-30", I186&lt;=90, "31-90", I186&lt;=365, "91-365", I186&gt;365, "1 Year+")</f>
        <v>1 Year+</v>
      </c>
      <c r="K186" t="s">
        <v>819</v>
      </c>
      <c r="L186" s="3" cm="1">
        <f t="array" ref="L186">_xlfn.IFS(F186="AUD",E186*$V$2,F186="CAD",E186*$V$3,F186="EUR",E186*$V$4,F186="GBP",E186*$V$5,F186="USD",E186*$V$6)</f>
        <v>2616.42</v>
      </c>
      <c r="M186" s="3" cm="1">
        <f t="array" ref="M186">_xlfn.IFS(G186="Paid", L186, G186="Partial", L186*0.5, G186="Open", 0)</f>
        <v>0</v>
      </c>
      <c r="N186" s="3" cm="1">
        <f t="array" ref="N186">_xlfn.IFS(G186="Open", L186, G186="Partial", L186*0.5, G186="Paid", 0)</f>
        <v>2616.42</v>
      </c>
    </row>
    <row r="187" spans="1:14" x14ac:dyDescent="0.25">
      <c r="A187" t="s">
        <v>191</v>
      </c>
      <c r="B187" t="s">
        <v>808</v>
      </c>
      <c r="C187" s="5">
        <v>45830</v>
      </c>
      <c r="D187" s="5">
        <v>45860</v>
      </c>
      <c r="E187" s="3">
        <v>816.61</v>
      </c>
      <c r="F187" t="s">
        <v>812</v>
      </c>
      <c r="G187" t="s">
        <v>816</v>
      </c>
      <c r="H187" s="5" t="s">
        <v>825</v>
      </c>
      <c r="I187" s="7">
        <f t="shared" si="2"/>
        <v>246</v>
      </c>
      <c r="J187" s="13" t="str" cm="1">
        <f t="array" ref="J187">_xlfn.IFS(I187=0, "Settled", I187&lt;=30, "1-30", I187&lt;=90, "31-90", I187&lt;=365, "91-365", I187&gt;365, "1 Year+")</f>
        <v>91-365</v>
      </c>
      <c r="K187" t="s">
        <v>819</v>
      </c>
      <c r="L187" s="3" cm="1">
        <f t="array" ref="L187">_xlfn.IFS(F187="AUD",E187*$V$2,F187="CAD",E187*$V$3,F187="EUR",E187*$V$4,F187="GBP",E187*$V$5,F187="USD",E187*$V$6)</f>
        <v>1126.9217999999998</v>
      </c>
      <c r="M187" s="3" cm="1">
        <f t="array" ref="M187">_xlfn.IFS(G187="Paid", L187, G187="Partial", L187*0.5, G187="Open", 0)</f>
        <v>0</v>
      </c>
      <c r="N187" s="3" cm="1">
        <f t="array" ref="N187">_xlfn.IFS(G187="Open", L187, G187="Partial", L187*0.5, G187="Paid", 0)</f>
        <v>1126.9217999999998</v>
      </c>
    </row>
    <row r="188" spans="1:14" x14ac:dyDescent="0.25">
      <c r="A188" t="s">
        <v>192</v>
      </c>
      <c r="B188" t="s">
        <v>806</v>
      </c>
      <c r="C188" s="5">
        <v>45414</v>
      </c>
      <c r="D188" s="5">
        <v>45444</v>
      </c>
      <c r="E188" s="3">
        <v>2178.88</v>
      </c>
      <c r="F188" t="s">
        <v>813</v>
      </c>
      <c r="G188" t="s">
        <v>818</v>
      </c>
      <c r="H188" s="5">
        <v>45444</v>
      </c>
      <c r="I188" s="7">
        <f t="shared" si="2"/>
        <v>0</v>
      </c>
      <c r="J188" s="13" t="str" cm="1">
        <f t="array" ref="J188">_xlfn.IFS(I188=0, "Settled", I188&lt;=30, "1-30", I188&lt;=90, "31-90", I188&lt;=365, "91-365", I188&gt;365, "1 Year+")</f>
        <v>Settled</v>
      </c>
      <c r="K188" t="s">
        <v>819</v>
      </c>
      <c r="L188" s="3" cm="1">
        <f t="array" ref="L188">_xlfn.IFS(F188="AUD",E188*$V$2,F188="CAD",E188*$V$3,F188="EUR",E188*$V$4,F188="GBP",E188*$V$5,F188="USD",E188*$V$6)</f>
        <v>1634.16</v>
      </c>
      <c r="M188" s="3" cm="1">
        <f t="array" ref="M188">_xlfn.IFS(G188="Paid", L188, G188="Partial", L188*0.5, G188="Open", 0)</f>
        <v>1634.16</v>
      </c>
      <c r="N188" s="3" cm="1">
        <f t="array" ref="N188">_xlfn.IFS(G188="Open", L188, G188="Partial", L188*0.5, G188="Paid", 0)</f>
        <v>0</v>
      </c>
    </row>
    <row r="189" spans="1:14" x14ac:dyDescent="0.25">
      <c r="A189" t="s">
        <v>193</v>
      </c>
      <c r="B189" t="s">
        <v>807</v>
      </c>
      <c r="C189" s="5">
        <v>45279</v>
      </c>
      <c r="D189" s="5">
        <v>45309</v>
      </c>
      <c r="E189" s="3">
        <v>4356.53</v>
      </c>
      <c r="F189" t="s">
        <v>814</v>
      </c>
      <c r="G189" t="s">
        <v>817</v>
      </c>
      <c r="H189" s="5" t="s">
        <v>825</v>
      </c>
      <c r="I189" s="7">
        <f t="shared" si="2"/>
        <v>797</v>
      </c>
      <c r="J189" s="13" t="str" cm="1">
        <f t="array" ref="J189">_xlfn.IFS(I189=0, "Settled", I189&lt;=30, "1-30", I189&lt;=90, "31-90", I189&lt;=365, "91-365", I189&gt;365, "1 Year+")</f>
        <v>1 Year+</v>
      </c>
      <c r="K189" t="s">
        <v>819</v>
      </c>
      <c r="L189" s="3" cm="1">
        <f t="array" ref="L189">_xlfn.IFS(F189="AUD",E189*$V$2,F189="CAD",E189*$V$3,F189="EUR",E189*$V$4,F189="GBP",E189*$V$5,F189="USD",E189*$V$6)</f>
        <v>4356.53</v>
      </c>
      <c r="M189" s="3" cm="1">
        <f t="array" ref="M189">_xlfn.IFS(G189="Paid", L189, G189="Partial", L189*0.5, G189="Open", 0)</f>
        <v>2178.2649999999999</v>
      </c>
      <c r="N189" s="3" cm="1">
        <f t="array" ref="N189">_xlfn.IFS(G189="Open", L189, G189="Partial", L189*0.5, G189="Paid", 0)</f>
        <v>2178.2649999999999</v>
      </c>
    </row>
    <row r="190" spans="1:14" x14ac:dyDescent="0.25">
      <c r="A190" t="s">
        <v>194</v>
      </c>
      <c r="B190" t="s">
        <v>806</v>
      </c>
      <c r="C190" s="5">
        <v>45399</v>
      </c>
      <c r="D190" s="5">
        <v>45429</v>
      </c>
      <c r="E190" s="3">
        <v>2905.63</v>
      </c>
      <c r="F190" t="s">
        <v>815</v>
      </c>
      <c r="G190" t="s">
        <v>816</v>
      </c>
      <c r="H190" s="5" t="s">
        <v>825</v>
      </c>
      <c r="I190" s="7">
        <f t="shared" si="2"/>
        <v>677</v>
      </c>
      <c r="J190" s="13" t="str" cm="1">
        <f t="array" ref="J190">_xlfn.IFS(I190=0, "Settled", I190&lt;=30, "1-30", I190&lt;=90, "31-90", I190&lt;=365, "91-365", I190&gt;365, "1 Year+")</f>
        <v>1 Year+</v>
      </c>
      <c r="K190" t="s">
        <v>819</v>
      </c>
      <c r="L190" s="3" cm="1">
        <f t="array" ref="L190">_xlfn.IFS(F190="AUD",E190*$V$2,F190="CAD",E190*$V$3,F190="EUR",E190*$V$4,F190="GBP",E190*$V$5,F190="USD",E190*$V$6)</f>
        <v>4213.1634999999997</v>
      </c>
      <c r="M190" s="3" cm="1">
        <f t="array" ref="M190">_xlfn.IFS(G190="Paid", L190, G190="Partial", L190*0.5, G190="Open", 0)</f>
        <v>0</v>
      </c>
      <c r="N190" s="3" cm="1">
        <f t="array" ref="N190">_xlfn.IFS(G190="Open", L190, G190="Partial", L190*0.5, G190="Paid", 0)</f>
        <v>4213.1634999999997</v>
      </c>
    </row>
    <row r="191" spans="1:14" x14ac:dyDescent="0.25">
      <c r="A191" t="s">
        <v>195</v>
      </c>
      <c r="B191" t="s">
        <v>809</v>
      </c>
      <c r="C191" s="5">
        <v>45414</v>
      </c>
      <c r="D191" s="5">
        <v>45444</v>
      </c>
      <c r="E191" s="3">
        <v>940.95</v>
      </c>
      <c r="F191" t="s">
        <v>812</v>
      </c>
      <c r="G191" t="s">
        <v>818</v>
      </c>
      <c r="H191" s="5">
        <v>45444</v>
      </c>
      <c r="I191" s="7">
        <f t="shared" si="2"/>
        <v>0</v>
      </c>
      <c r="J191" s="13" t="str" cm="1">
        <f t="array" ref="J191">_xlfn.IFS(I191=0, "Settled", I191&lt;=30, "1-30", I191&lt;=90, "31-90", I191&lt;=365, "91-365", I191&gt;365, "1 Year+")</f>
        <v>Settled</v>
      </c>
      <c r="K191" t="s">
        <v>819</v>
      </c>
      <c r="L191" s="3" cm="1">
        <f t="array" ref="L191">_xlfn.IFS(F191="AUD",E191*$V$2,F191="CAD",E191*$V$3,F191="EUR",E191*$V$4,F191="GBP",E191*$V$5,F191="USD",E191*$V$6)</f>
        <v>1298.511</v>
      </c>
      <c r="M191" s="3" cm="1">
        <f t="array" ref="M191">_xlfn.IFS(G191="Paid", L191, G191="Partial", L191*0.5, G191="Open", 0)</f>
        <v>1298.511</v>
      </c>
      <c r="N191" s="3" cm="1">
        <f t="array" ref="N191">_xlfn.IFS(G191="Open", L191, G191="Partial", L191*0.5, G191="Paid", 0)</f>
        <v>0</v>
      </c>
    </row>
    <row r="192" spans="1:14" x14ac:dyDescent="0.25">
      <c r="A192" t="s">
        <v>196</v>
      </c>
      <c r="B192" t="s">
        <v>808</v>
      </c>
      <c r="C192" s="5">
        <v>44974</v>
      </c>
      <c r="D192" s="5">
        <v>45004</v>
      </c>
      <c r="E192" s="3">
        <v>4744.18</v>
      </c>
      <c r="F192" t="s">
        <v>815</v>
      </c>
      <c r="G192" t="s">
        <v>817</v>
      </c>
      <c r="H192" s="5" t="s">
        <v>825</v>
      </c>
      <c r="I192" s="7">
        <f t="shared" si="2"/>
        <v>1102</v>
      </c>
      <c r="J192" s="13" t="str" cm="1">
        <f t="array" ref="J192">_xlfn.IFS(I192=0, "Settled", I192&lt;=30, "1-30", I192&lt;=90, "31-90", I192&lt;=365, "91-365", I192&gt;365, "1 Year+")</f>
        <v>1 Year+</v>
      </c>
      <c r="K192" t="s">
        <v>819</v>
      </c>
      <c r="L192" s="3" cm="1">
        <f t="array" ref="L192">_xlfn.IFS(F192="AUD",E192*$V$2,F192="CAD",E192*$V$3,F192="EUR",E192*$V$4,F192="GBP",E192*$V$5,F192="USD",E192*$V$6)</f>
        <v>6879.0610000000006</v>
      </c>
      <c r="M192" s="3" cm="1">
        <f t="array" ref="M192">_xlfn.IFS(G192="Paid", L192, G192="Partial", L192*0.5, G192="Open", 0)</f>
        <v>3439.5305000000003</v>
      </c>
      <c r="N192" s="3" cm="1">
        <f t="array" ref="N192">_xlfn.IFS(G192="Open", L192, G192="Partial", L192*0.5, G192="Paid", 0)</f>
        <v>3439.5305000000003</v>
      </c>
    </row>
    <row r="193" spans="1:14" x14ac:dyDescent="0.25">
      <c r="A193" t="s">
        <v>197</v>
      </c>
      <c r="B193" t="s">
        <v>809</v>
      </c>
      <c r="C193" s="5">
        <v>45710</v>
      </c>
      <c r="D193" s="5">
        <v>45740</v>
      </c>
      <c r="E193" s="3">
        <v>147.49</v>
      </c>
      <c r="F193" t="s">
        <v>815</v>
      </c>
      <c r="G193" t="s">
        <v>818</v>
      </c>
      <c r="H193" s="5">
        <v>45740</v>
      </c>
      <c r="I193" s="7">
        <f t="shared" si="2"/>
        <v>0</v>
      </c>
      <c r="J193" s="13" t="str" cm="1">
        <f t="array" ref="J193">_xlfn.IFS(I193=0, "Settled", I193&lt;=30, "1-30", I193&lt;=90, "31-90", I193&lt;=365, "91-365", I193&gt;365, "1 Year+")</f>
        <v>Settled</v>
      </c>
      <c r="K193" t="s">
        <v>819</v>
      </c>
      <c r="L193" s="3" cm="1">
        <f t="array" ref="L193">_xlfn.IFS(F193="AUD",E193*$V$2,F193="CAD",E193*$V$3,F193="EUR",E193*$V$4,F193="GBP",E193*$V$5,F193="USD",E193*$V$6)</f>
        <v>213.8605</v>
      </c>
      <c r="M193" s="3" cm="1">
        <f t="array" ref="M193">_xlfn.IFS(G193="Paid", L193, G193="Partial", L193*0.5, G193="Open", 0)</f>
        <v>213.8605</v>
      </c>
      <c r="N193" s="3" cm="1">
        <f t="array" ref="N193">_xlfn.IFS(G193="Open", L193, G193="Partial", L193*0.5, G193="Paid", 0)</f>
        <v>0</v>
      </c>
    </row>
    <row r="194" spans="1:14" x14ac:dyDescent="0.25">
      <c r="A194" t="s">
        <v>198</v>
      </c>
      <c r="B194" t="s">
        <v>810</v>
      </c>
      <c r="C194" s="5">
        <v>45817</v>
      </c>
      <c r="D194" s="5">
        <v>45847</v>
      </c>
      <c r="E194" s="3">
        <v>495.23</v>
      </c>
      <c r="F194" t="s">
        <v>812</v>
      </c>
      <c r="G194" t="s">
        <v>817</v>
      </c>
      <c r="H194" s="5" t="s">
        <v>825</v>
      </c>
      <c r="I194" s="7">
        <f t="shared" si="2"/>
        <v>259</v>
      </c>
      <c r="J194" s="13" t="str" cm="1">
        <f t="array" ref="J194">_xlfn.IFS(I194=0, "Settled", I194&lt;=30, "1-30", I194&lt;=90, "31-90", I194&lt;=365, "91-365", I194&gt;365, "1 Year+")</f>
        <v>91-365</v>
      </c>
      <c r="K194" t="s">
        <v>819</v>
      </c>
      <c r="L194" s="3" cm="1">
        <f t="array" ref="L194">_xlfn.IFS(F194="AUD",E194*$V$2,F194="CAD",E194*$V$3,F194="EUR",E194*$V$4,F194="GBP",E194*$V$5,F194="USD",E194*$V$6)</f>
        <v>683.41739999999993</v>
      </c>
      <c r="M194" s="3" cm="1">
        <f t="array" ref="M194">_xlfn.IFS(G194="Paid", L194, G194="Partial", L194*0.5, G194="Open", 0)</f>
        <v>341.70869999999996</v>
      </c>
      <c r="N194" s="3" cm="1">
        <f t="array" ref="N194">_xlfn.IFS(G194="Open", L194, G194="Partial", L194*0.5, G194="Paid", 0)</f>
        <v>341.70869999999996</v>
      </c>
    </row>
    <row r="195" spans="1:14" x14ac:dyDescent="0.25">
      <c r="A195" t="s">
        <v>199</v>
      </c>
      <c r="B195" t="s">
        <v>809</v>
      </c>
      <c r="C195" s="5">
        <v>45076</v>
      </c>
      <c r="D195" s="5">
        <v>45106</v>
      </c>
      <c r="E195" s="3">
        <v>2497.87</v>
      </c>
      <c r="F195" t="s">
        <v>813</v>
      </c>
      <c r="G195" t="s">
        <v>817</v>
      </c>
      <c r="H195" s="5" t="s">
        <v>825</v>
      </c>
      <c r="I195" s="7">
        <f t="shared" ref="I195:I258" si="3">IF(G195="Paid",0,DATE(2026,3,25)-D195)</f>
        <v>1000</v>
      </c>
      <c r="J195" s="13" t="str" cm="1">
        <f t="array" ref="J195">_xlfn.IFS(I195=0, "Settled", I195&lt;=30, "1-30", I195&lt;=90, "31-90", I195&lt;=365, "91-365", I195&gt;365, "1 Year+")</f>
        <v>1 Year+</v>
      </c>
      <c r="K195" t="s">
        <v>819</v>
      </c>
      <c r="L195" s="3" cm="1">
        <f t="array" ref="L195">_xlfn.IFS(F195="AUD",E195*$V$2,F195="CAD",E195*$V$3,F195="EUR",E195*$V$4,F195="GBP",E195*$V$5,F195="USD",E195*$V$6)</f>
        <v>1873.4024999999999</v>
      </c>
      <c r="M195" s="3" cm="1">
        <f t="array" ref="M195">_xlfn.IFS(G195="Paid", L195, G195="Partial", L195*0.5, G195="Open", 0)</f>
        <v>936.70124999999996</v>
      </c>
      <c r="N195" s="3" cm="1">
        <f t="array" ref="N195">_xlfn.IFS(G195="Open", L195, G195="Partial", L195*0.5, G195="Paid", 0)</f>
        <v>936.70124999999996</v>
      </c>
    </row>
    <row r="196" spans="1:14" x14ac:dyDescent="0.25">
      <c r="A196" t="s">
        <v>200</v>
      </c>
      <c r="B196" t="s">
        <v>810</v>
      </c>
      <c r="C196" s="5">
        <v>45454</v>
      </c>
      <c r="D196" s="5">
        <v>45484</v>
      </c>
      <c r="E196" s="3">
        <v>1407.52</v>
      </c>
      <c r="F196" t="s">
        <v>812</v>
      </c>
      <c r="G196" t="s">
        <v>816</v>
      </c>
      <c r="H196" s="5" t="s">
        <v>825</v>
      </c>
      <c r="I196" s="7">
        <f t="shared" si="3"/>
        <v>622</v>
      </c>
      <c r="J196" s="13" t="str" cm="1">
        <f t="array" ref="J196">_xlfn.IFS(I196=0, "Settled", I196&lt;=30, "1-30", I196&lt;=90, "31-90", I196&lt;=365, "91-365", I196&gt;365, "1 Year+")</f>
        <v>1 Year+</v>
      </c>
      <c r="K196" t="s">
        <v>819</v>
      </c>
      <c r="L196" s="3" cm="1">
        <f t="array" ref="L196">_xlfn.IFS(F196="AUD",E196*$V$2,F196="CAD",E196*$V$3,F196="EUR",E196*$V$4,F196="GBP",E196*$V$5,F196="USD",E196*$V$6)</f>
        <v>1942.3775999999998</v>
      </c>
      <c r="M196" s="3" cm="1">
        <f t="array" ref="M196">_xlfn.IFS(G196="Paid", L196, G196="Partial", L196*0.5, G196="Open", 0)</f>
        <v>0</v>
      </c>
      <c r="N196" s="3" cm="1">
        <f t="array" ref="N196">_xlfn.IFS(G196="Open", L196, G196="Partial", L196*0.5, G196="Paid", 0)</f>
        <v>1942.3775999999998</v>
      </c>
    </row>
    <row r="197" spans="1:14" x14ac:dyDescent="0.25">
      <c r="A197" t="s">
        <v>201</v>
      </c>
      <c r="B197" t="s">
        <v>810</v>
      </c>
      <c r="C197" s="5">
        <v>45723</v>
      </c>
      <c r="D197" s="5">
        <v>45753</v>
      </c>
      <c r="E197" s="3">
        <v>2632.28</v>
      </c>
      <c r="F197" t="s">
        <v>815</v>
      </c>
      <c r="G197" t="s">
        <v>817</v>
      </c>
      <c r="H197" s="5" t="s">
        <v>825</v>
      </c>
      <c r="I197" s="7">
        <f t="shared" si="3"/>
        <v>353</v>
      </c>
      <c r="J197" s="13" t="str" cm="1">
        <f t="array" ref="J197">_xlfn.IFS(I197=0, "Settled", I197&lt;=30, "1-30", I197&lt;=90, "31-90", I197&lt;=365, "91-365", I197&gt;365, "1 Year+")</f>
        <v>91-365</v>
      </c>
      <c r="K197" t="s">
        <v>819</v>
      </c>
      <c r="L197" s="3" cm="1">
        <f t="array" ref="L197">_xlfn.IFS(F197="AUD",E197*$V$2,F197="CAD",E197*$V$3,F197="EUR",E197*$V$4,F197="GBP",E197*$V$5,F197="USD",E197*$V$6)</f>
        <v>3816.806</v>
      </c>
      <c r="M197" s="3" cm="1">
        <f t="array" ref="M197">_xlfn.IFS(G197="Paid", L197, G197="Partial", L197*0.5, G197="Open", 0)</f>
        <v>1908.403</v>
      </c>
      <c r="N197" s="3" cm="1">
        <f t="array" ref="N197">_xlfn.IFS(G197="Open", L197, G197="Partial", L197*0.5, G197="Paid", 0)</f>
        <v>1908.403</v>
      </c>
    </row>
    <row r="198" spans="1:14" x14ac:dyDescent="0.25">
      <c r="A198" t="s">
        <v>202</v>
      </c>
      <c r="B198" t="s">
        <v>807</v>
      </c>
      <c r="C198" s="5">
        <v>45384</v>
      </c>
      <c r="D198" s="5">
        <v>45414</v>
      </c>
      <c r="E198" s="3">
        <v>3255.92</v>
      </c>
      <c r="F198" t="s">
        <v>813</v>
      </c>
      <c r="G198" t="s">
        <v>816</v>
      </c>
      <c r="H198" s="5" t="s">
        <v>825</v>
      </c>
      <c r="I198" s="7">
        <f t="shared" si="3"/>
        <v>692</v>
      </c>
      <c r="J198" s="13" t="str" cm="1">
        <f t="array" ref="J198">_xlfn.IFS(I198=0, "Settled", I198&lt;=30, "1-30", I198&lt;=90, "31-90", I198&lt;=365, "91-365", I198&gt;365, "1 Year+")</f>
        <v>1 Year+</v>
      </c>
      <c r="K198" t="s">
        <v>819</v>
      </c>
      <c r="L198" s="3" cm="1">
        <f t="array" ref="L198">_xlfn.IFS(F198="AUD",E198*$V$2,F198="CAD",E198*$V$3,F198="EUR",E198*$V$4,F198="GBP",E198*$V$5,F198="USD",E198*$V$6)</f>
        <v>2441.94</v>
      </c>
      <c r="M198" s="3" cm="1">
        <f t="array" ref="M198">_xlfn.IFS(G198="Paid", L198, G198="Partial", L198*0.5, G198="Open", 0)</f>
        <v>0</v>
      </c>
      <c r="N198" s="3" cm="1">
        <f t="array" ref="N198">_xlfn.IFS(G198="Open", L198, G198="Partial", L198*0.5, G198="Paid", 0)</f>
        <v>2441.94</v>
      </c>
    </row>
    <row r="199" spans="1:14" x14ac:dyDescent="0.25">
      <c r="A199" t="s">
        <v>203</v>
      </c>
      <c r="B199" t="s">
        <v>806</v>
      </c>
      <c r="C199" s="5">
        <v>45190</v>
      </c>
      <c r="D199" s="5">
        <v>45220</v>
      </c>
      <c r="E199" s="3">
        <v>392.7</v>
      </c>
      <c r="F199" t="s">
        <v>814</v>
      </c>
      <c r="G199" t="s">
        <v>818</v>
      </c>
      <c r="H199" s="5">
        <v>45220</v>
      </c>
      <c r="I199" s="7">
        <f t="shared" si="3"/>
        <v>0</v>
      </c>
      <c r="J199" s="13" t="str" cm="1">
        <f t="array" ref="J199">_xlfn.IFS(I199=0, "Settled", I199&lt;=30, "1-30", I199&lt;=90, "31-90", I199&lt;=365, "91-365", I199&gt;365, "1 Year+")</f>
        <v>Settled</v>
      </c>
      <c r="K199" t="s">
        <v>819</v>
      </c>
      <c r="L199" s="3" cm="1">
        <f t="array" ref="L199">_xlfn.IFS(F199="AUD",E199*$V$2,F199="CAD",E199*$V$3,F199="EUR",E199*$V$4,F199="GBP",E199*$V$5,F199="USD",E199*$V$6)</f>
        <v>392.7</v>
      </c>
      <c r="M199" s="3" cm="1">
        <f t="array" ref="M199">_xlfn.IFS(G199="Paid", L199, G199="Partial", L199*0.5, G199="Open", 0)</f>
        <v>392.7</v>
      </c>
      <c r="N199" s="3" cm="1">
        <f t="array" ref="N199">_xlfn.IFS(G199="Open", L199, G199="Partial", L199*0.5, G199="Paid", 0)</f>
        <v>0</v>
      </c>
    </row>
    <row r="200" spans="1:14" x14ac:dyDescent="0.25">
      <c r="A200" t="s">
        <v>204</v>
      </c>
      <c r="B200" t="s">
        <v>807</v>
      </c>
      <c r="C200" s="5">
        <v>45388</v>
      </c>
      <c r="D200" s="5">
        <v>45418</v>
      </c>
      <c r="E200" s="3">
        <v>4366.6499999999996</v>
      </c>
      <c r="F200" t="s">
        <v>814</v>
      </c>
      <c r="G200" t="s">
        <v>817</v>
      </c>
      <c r="H200" s="5" t="s">
        <v>825</v>
      </c>
      <c r="I200" s="7">
        <f t="shared" si="3"/>
        <v>688</v>
      </c>
      <c r="J200" s="13" t="str" cm="1">
        <f t="array" ref="J200">_xlfn.IFS(I200=0, "Settled", I200&lt;=30, "1-30", I200&lt;=90, "31-90", I200&lt;=365, "91-365", I200&gt;365, "1 Year+")</f>
        <v>1 Year+</v>
      </c>
      <c r="K200" t="s">
        <v>819</v>
      </c>
      <c r="L200" s="3" cm="1">
        <f t="array" ref="L200">_xlfn.IFS(F200="AUD",E200*$V$2,F200="CAD",E200*$V$3,F200="EUR",E200*$V$4,F200="GBP",E200*$V$5,F200="USD",E200*$V$6)</f>
        <v>4366.6499999999996</v>
      </c>
      <c r="M200" s="3" cm="1">
        <f t="array" ref="M200">_xlfn.IFS(G200="Paid", L200, G200="Partial", L200*0.5, G200="Open", 0)</f>
        <v>2183.3249999999998</v>
      </c>
      <c r="N200" s="3" cm="1">
        <f t="array" ref="N200">_xlfn.IFS(G200="Open", L200, G200="Partial", L200*0.5, G200="Paid", 0)</f>
        <v>2183.3249999999998</v>
      </c>
    </row>
    <row r="201" spans="1:14" x14ac:dyDescent="0.25">
      <c r="A201" t="s">
        <v>205</v>
      </c>
      <c r="B201" t="s">
        <v>810</v>
      </c>
      <c r="C201" s="5">
        <v>45372</v>
      </c>
      <c r="D201" s="5">
        <v>45402</v>
      </c>
      <c r="E201" s="3">
        <v>1348.94</v>
      </c>
      <c r="F201" t="s">
        <v>811</v>
      </c>
      <c r="G201" t="s">
        <v>818</v>
      </c>
      <c r="H201" s="5">
        <v>45402</v>
      </c>
      <c r="I201" s="7">
        <f t="shared" si="3"/>
        <v>0</v>
      </c>
      <c r="J201" s="13" t="str" cm="1">
        <f t="array" ref="J201">_xlfn.IFS(I201=0, "Settled", I201&lt;=30, "1-30", I201&lt;=90, "31-90", I201&lt;=365, "91-365", I201&gt;365, "1 Year+")</f>
        <v>Settled</v>
      </c>
      <c r="K201" t="s">
        <v>819</v>
      </c>
      <c r="L201" s="3" cm="1">
        <f t="array" ref="L201">_xlfn.IFS(F201="AUD",E201*$V$2,F201="CAD",E201*$V$3,F201="EUR",E201*$V$4,F201="GBP",E201*$V$5,F201="USD",E201*$V$6)</f>
        <v>1160.0884000000001</v>
      </c>
      <c r="M201" s="3" cm="1">
        <f t="array" ref="M201">_xlfn.IFS(G201="Paid", L201, G201="Partial", L201*0.5, G201="Open", 0)</f>
        <v>1160.0884000000001</v>
      </c>
      <c r="N201" s="3" cm="1">
        <f t="array" ref="N201">_xlfn.IFS(G201="Open", L201, G201="Partial", L201*0.5, G201="Paid", 0)</f>
        <v>0</v>
      </c>
    </row>
    <row r="202" spans="1:14" x14ac:dyDescent="0.25">
      <c r="A202" t="s">
        <v>206</v>
      </c>
      <c r="B202" t="s">
        <v>809</v>
      </c>
      <c r="C202" s="5">
        <v>45837</v>
      </c>
      <c r="D202" s="5">
        <v>45867</v>
      </c>
      <c r="E202" s="3">
        <v>4373.5200000000004</v>
      </c>
      <c r="F202" t="s">
        <v>813</v>
      </c>
      <c r="G202" t="s">
        <v>816</v>
      </c>
      <c r="H202" s="5" t="s">
        <v>825</v>
      </c>
      <c r="I202" s="7">
        <f t="shared" si="3"/>
        <v>239</v>
      </c>
      <c r="J202" s="13" t="str" cm="1">
        <f t="array" ref="J202">_xlfn.IFS(I202=0, "Settled", I202&lt;=30, "1-30", I202&lt;=90, "31-90", I202&lt;=365, "91-365", I202&gt;365, "1 Year+")</f>
        <v>91-365</v>
      </c>
      <c r="K202" t="s">
        <v>819</v>
      </c>
      <c r="L202" s="3" cm="1">
        <f t="array" ref="L202">_xlfn.IFS(F202="AUD",E202*$V$2,F202="CAD",E202*$V$3,F202="EUR",E202*$V$4,F202="GBP",E202*$V$5,F202="USD",E202*$V$6)</f>
        <v>3280.1400000000003</v>
      </c>
      <c r="M202" s="3" cm="1">
        <f t="array" ref="M202">_xlfn.IFS(G202="Paid", L202, G202="Partial", L202*0.5, G202="Open", 0)</f>
        <v>0</v>
      </c>
      <c r="N202" s="3" cm="1">
        <f t="array" ref="N202">_xlfn.IFS(G202="Open", L202, G202="Partial", L202*0.5, G202="Paid", 0)</f>
        <v>3280.1400000000003</v>
      </c>
    </row>
    <row r="203" spans="1:14" x14ac:dyDescent="0.25">
      <c r="A203" t="s">
        <v>207</v>
      </c>
      <c r="B203" t="s">
        <v>809</v>
      </c>
      <c r="C203" s="5">
        <v>45232</v>
      </c>
      <c r="D203" s="5">
        <v>45262</v>
      </c>
      <c r="E203" s="3">
        <v>3414.97</v>
      </c>
      <c r="F203" t="s">
        <v>814</v>
      </c>
      <c r="G203" t="s">
        <v>818</v>
      </c>
      <c r="H203" s="5">
        <v>45262</v>
      </c>
      <c r="I203" s="7">
        <f t="shared" si="3"/>
        <v>0</v>
      </c>
      <c r="J203" s="13" t="str" cm="1">
        <f t="array" ref="J203">_xlfn.IFS(I203=0, "Settled", I203&lt;=30, "1-30", I203&lt;=90, "31-90", I203&lt;=365, "91-365", I203&gt;365, "1 Year+")</f>
        <v>Settled</v>
      </c>
      <c r="K203" t="s">
        <v>819</v>
      </c>
      <c r="L203" s="3" cm="1">
        <f t="array" ref="L203">_xlfn.IFS(F203="AUD",E203*$V$2,F203="CAD",E203*$V$3,F203="EUR",E203*$V$4,F203="GBP",E203*$V$5,F203="USD",E203*$V$6)</f>
        <v>3414.97</v>
      </c>
      <c r="M203" s="3" cm="1">
        <f t="array" ref="M203">_xlfn.IFS(G203="Paid", L203, G203="Partial", L203*0.5, G203="Open", 0)</f>
        <v>3414.97</v>
      </c>
      <c r="N203" s="3" cm="1">
        <f t="array" ref="N203">_xlfn.IFS(G203="Open", L203, G203="Partial", L203*0.5, G203="Paid", 0)</f>
        <v>0</v>
      </c>
    </row>
    <row r="204" spans="1:14" x14ac:dyDescent="0.25">
      <c r="A204" t="s">
        <v>208</v>
      </c>
      <c r="B204" t="s">
        <v>809</v>
      </c>
      <c r="C204" s="5">
        <v>45665</v>
      </c>
      <c r="D204" s="5">
        <v>45695</v>
      </c>
      <c r="E204" s="3">
        <v>1646.53</v>
      </c>
      <c r="F204" t="s">
        <v>812</v>
      </c>
      <c r="G204" t="s">
        <v>818</v>
      </c>
      <c r="H204" s="5">
        <v>45695</v>
      </c>
      <c r="I204" s="7">
        <f t="shared" si="3"/>
        <v>0</v>
      </c>
      <c r="J204" s="13" t="str" cm="1">
        <f t="array" ref="J204">_xlfn.IFS(I204=0, "Settled", I204&lt;=30, "1-30", I204&lt;=90, "31-90", I204&lt;=365, "91-365", I204&gt;365, "1 Year+")</f>
        <v>Settled</v>
      </c>
      <c r="K204" t="s">
        <v>819</v>
      </c>
      <c r="L204" s="3" cm="1">
        <f t="array" ref="L204">_xlfn.IFS(F204="AUD",E204*$V$2,F204="CAD",E204*$V$3,F204="EUR",E204*$V$4,F204="GBP",E204*$V$5,F204="USD",E204*$V$6)</f>
        <v>2272.2113999999997</v>
      </c>
      <c r="M204" s="3" cm="1">
        <f t="array" ref="M204">_xlfn.IFS(G204="Paid", L204, G204="Partial", L204*0.5, G204="Open", 0)</f>
        <v>2272.2113999999997</v>
      </c>
      <c r="N204" s="3" cm="1">
        <f t="array" ref="N204">_xlfn.IFS(G204="Open", L204, G204="Partial", L204*0.5, G204="Paid", 0)</f>
        <v>0</v>
      </c>
    </row>
    <row r="205" spans="1:14" x14ac:dyDescent="0.25">
      <c r="A205" t="s">
        <v>209</v>
      </c>
      <c r="B205" t="s">
        <v>807</v>
      </c>
      <c r="C205" s="5">
        <v>45727</v>
      </c>
      <c r="D205" s="5">
        <v>45757</v>
      </c>
      <c r="E205" s="3">
        <v>2688.88</v>
      </c>
      <c r="F205" t="s">
        <v>811</v>
      </c>
      <c r="G205" t="s">
        <v>816</v>
      </c>
      <c r="H205" s="5" t="s">
        <v>825</v>
      </c>
      <c r="I205" s="7">
        <f t="shared" si="3"/>
        <v>349</v>
      </c>
      <c r="J205" s="13" t="str" cm="1">
        <f t="array" ref="J205">_xlfn.IFS(I205=0, "Settled", I205&lt;=30, "1-30", I205&lt;=90, "31-90", I205&lt;=365, "91-365", I205&gt;365, "1 Year+")</f>
        <v>91-365</v>
      </c>
      <c r="K205" t="s">
        <v>819</v>
      </c>
      <c r="L205" s="3" cm="1">
        <f t="array" ref="L205">_xlfn.IFS(F205="AUD",E205*$V$2,F205="CAD",E205*$V$3,F205="EUR",E205*$V$4,F205="GBP",E205*$V$5,F205="USD",E205*$V$6)</f>
        <v>2312.4367999999999</v>
      </c>
      <c r="M205" s="3" cm="1">
        <f t="array" ref="M205">_xlfn.IFS(G205="Paid", L205, G205="Partial", L205*0.5, G205="Open", 0)</f>
        <v>0</v>
      </c>
      <c r="N205" s="3" cm="1">
        <f t="array" ref="N205">_xlfn.IFS(G205="Open", L205, G205="Partial", L205*0.5, G205="Paid", 0)</f>
        <v>2312.4367999999999</v>
      </c>
    </row>
    <row r="206" spans="1:14" x14ac:dyDescent="0.25">
      <c r="A206" t="s">
        <v>210</v>
      </c>
      <c r="B206" t="s">
        <v>808</v>
      </c>
      <c r="C206" s="5">
        <v>44933</v>
      </c>
      <c r="D206" s="5">
        <v>44963</v>
      </c>
      <c r="E206" s="3">
        <v>2187.09</v>
      </c>
      <c r="F206" t="s">
        <v>815</v>
      </c>
      <c r="G206" t="s">
        <v>817</v>
      </c>
      <c r="H206" s="5" t="s">
        <v>825</v>
      </c>
      <c r="I206" s="7">
        <f t="shared" si="3"/>
        <v>1143</v>
      </c>
      <c r="J206" s="13" t="str" cm="1">
        <f t="array" ref="J206">_xlfn.IFS(I206=0, "Settled", I206&lt;=30, "1-30", I206&lt;=90, "31-90", I206&lt;=365, "91-365", I206&gt;365, "1 Year+")</f>
        <v>1 Year+</v>
      </c>
      <c r="K206" t="s">
        <v>819</v>
      </c>
      <c r="L206" s="3" cm="1">
        <f t="array" ref="L206">_xlfn.IFS(F206="AUD",E206*$V$2,F206="CAD",E206*$V$3,F206="EUR",E206*$V$4,F206="GBP",E206*$V$5,F206="USD",E206*$V$6)</f>
        <v>3171.2805000000003</v>
      </c>
      <c r="M206" s="3" cm="1">
        <f t="array" ref="M206">_xlfn.IFS(G206="Paid", L206, G206="Partial", L206*0.5, G206="Open", 0)</f>
        <v>1585.6402500000002</v>
      </c>
      <c r="N206" s="3" cm="1">
        <f t="array" ref="N206">_xlfn.IFS(G206="Open", L206, G206="Partial", L206*0.5, G206="Paid", 0)</f>
        <v>1585.6402500000002</v>
      </c>
    </row>
    <row r="207" spans="1:14" x14ac:dyDescent="0.25">
      <c r="A207" t="s">
        <v>211</v>
      </c>
      <c r="B207" t="s">
        <v>810</v>
      </c>
      <c r="C207" s="5">
        <v>45805</v>
      </c>
      <c r="D207" s="5">
        <v>45835</v>
      </c>
      <c r="E207" s="3">
        <v>3171.13</v>
      </c>
      <c r="F207" t="s">
        <v>814</v>
      </c>
      <c r="G207" t="s">
        <v>818</v>
      </c>
      <c r="H207" s="5">
        <v>45835</v>
      </c>
      <c r="I207" s="7">
        <f t="shared" si="3"/>
        <v>0</v>
      </c>
      <c r="J207" s="13" t="str" cm="1">
        <f t="array" ref="J207">_xlfn.IFS(I207=0, "Settled", I207&lt;=30, "1-30", I207&lt;=90, "31-90", I207&lt;=365, "91-365", I207&gt;365, "1 Year+")</f>
        <v>Settled</v>
      </c>
      <c r="K207" t="s">
        <v>819</v>
      </c>
      <c r="L207" s="3" cm="1">
        <f t="array" ref="L207">_xlfn.IFS(F207="AUD",E207*$V$2,F207="CAD",E207*$V$3,F207="EUR",E207*$V$4,F207="GBP",E207*$V$5,F207="USD",E207*$V$6)</f>
        <v>3171.13</v>
      </c>
      <c r="M207" s="3" cm="1">
        <f t="array" ref="M207">_xlfn.IFS(G207="Paid", L207, G207="Partial", L207*0.5, G207="Open", 0)</f>
        <v>3171.13</v>
      </c>
      <c r="N207" s="3" cm="1">
        <f t="array" ref="N207">_xlfn.IFS(G207="Open", L207, G207="Partial", L207*0.5, G207="Paid", 0)</f>
        <v>0</v>
      </c>
    </row>
    <row r="208" spans="1:14" x14ac:dyDescent="0.25">
      <c r="A208" t="s">
        <v>212</v>
      </c>
      <c r="B208" t="s">
        <v>806</v>
      </c>
      <c r="C208" s="5">
        <v>45437</v>
      </c>
      <c r="D208" s="5">
        <v>45467</v>
      </c>
      <c r="E208" s="3">
        <v>2235.4699999999998</v>
      </c>
      <c r="F208" t="s">
        <v>811</v>
      </c>
      <c r="G208" t="s">
        <v>818</v>
      </c>
      <c r="H208" s="5">
        <v>45467</v>
      </c>
      <c r="I208" s="7">
        <f t="shared" si="3"/>
        <v>0</v>
      </c>
      <c r="J208" s="13" t="str" cm="1">
        <f t="array" ref="J208">_xlfn.IFS(I208=0, "Settled", I208&lt;=30, "1-30", I208&lt;=90, "31-90", I208&lt;=365, "91-365", I208&gt;365, "1 Year+")</f>
        <v>Settled</v>
      </c>
      <c r="K208" t="s">
        <v>819</v>
      </c>
      <c r="L208" s="3" cm="1">
        <f t="array" ref="L208">_xlfn.IFS(F208="AUD",E208*$V$2,F208="CAD",E208*$V$3,F208="EUR",E208*$V$4,F208="GBP",E208*$V$5,F208="USD",E208*$V$6)</f>
        <v>1922.5041999999999</v>
      </c>
      <c r="M208" s="3" cm="1">
        <f t="array" ref="M208">_xlfn.IFS(G208="Paid", L208, G208="Partial", L208*0.5, G208="Open", 0)</f>
        <v>1922.5041999999999</v>
      </c>
      <c r="N208" s="3" cm="1">
        <f t="array" ref="N208">_xlfn.IFS(G208="Open", L208, G208="Partial", L208*0.5, G208="Paid", 0)</f>
        <v>0</v>
      </c>
    </row>
    <row r="209" spans="1:14" x14ac:dyDescent="0.25">
      <c r="A209" t="s">
        <v>213</v>
      </c>
      <c r="B209" t="s">
        <v>806</v>
      </c>
      <c r="C209" s="5">
        <v>45445</v>
      </c>
      <c r="D209" s="5">
        <v>45475</v>
      </c>
      <c r="E209" s="3">
        <v>4392.95</v>
      </c>
      <c r="F209" t="s">
        <v>814</v>
      </c>
      <c r="G209" t="s">
        <v>818</v>
      </c>
      <c r="H209" s="5">
        <v>45475</v>
      </c>
      <c r="I209" s="7">
        <f t="shared" si="3"/>
        <v>0</v>
      </c>
      <c r="J209" s="13" t="str" cm="1">
        <f t="array" ref="J209">_xlfn.IFS(I209=0, "Settled", I209&lt;=30, "1-30", I209&lt;=90, "31-90", I209&lt;=365, "91-365", I209&gt;365, "1 Year+")</f>
        <v>Settled</v>
      </c>
      <c r="K209" t="s">
        <v>819</v>
      </c>
      <c r="L209" s="3" cm="1">
        <f t="array" ref="L209">_xlfn.IFS(F209="AUD",E209*$V$2,F209="CAD",E209*$V$3,F209="EUR",E209*$V$4,F209="GBP",E209*$V$5,F209="USD",E209*$V$6)</f>
        <v>4392.95</v>
      </c>
      <c r="M209" s="3" cm="1">
        <f t="array" ref="M209">_xlfn.IFS(G209="Paid", L209, G209="Partial", L209*0.5, G209="Open", 0)</f>
        <v>4392.95</v>
      </c>
      <c r="N209" s="3" cm="1">
        <f t="array" ref="N209">_xlfn.IFS(G209="Open", L209, G209="Partial", L209*0.5, G209="Paid", 0)</f>
        <v>0</v>
      </c>
    </row>
    <row r="210" spans="1:14" x14ac:dyDescent="0.25">
      <c r="A210" t="s">
        <v>214</v>
      </c>
      <c r="B210" t="s">
        <v>809</v>
      </c>
      <c r="C210" s="5">
        <v>45204</v>
      </c>
      <c r="D210" s="5">
        <v>45234</v>
      </c>
      <c r="E210" s="3">
        <v>765.04</v>
      </c>
      <c r="F210" t="s">
        <v>811</v>
      </c>
      <c r="G210" t="s">
        <v>818</v>
      </c>
      <c r="H210" s="5">
        <v>45234</v>
      </c>
      <c r="I210" s="7">
        <f t="shared" si="3"/>
        <v>0</v>
      </c>
      <c r="J210" s="13" t="str" cm="1">
        <f t="array" ref="J210">_xlfn.IFS(I210=0, "Settled", I210&lt;=30, "1-30", I210&lt;=90, "31-90", I210&lt;=365, "91-365", I210&gt;365, "1 Year+")</f>
        <v>Settled</v>
      </c>
      <c r="K210" t="s">
        <v>819</v>
      </c>
      <c r="L210" s="3" cm="1">
        <f t="array" ref="L210">_xlfn.IFS(F210="AUD",E210*$V$2,F210="CAD",E210*$V$3,F210="EUR",E210*$V$4,F210="GBP",E210*$V$5,F210="USD",E210*$V$6)</f>
        <v>657.93439999999998</v>
      </c>
      <c r="M210" s="3" cm="1">
        <f t="array" ref="M210">_xlfn.IFS(G210="Paid", L210, G210="Partial", L210*0.5, G210="Open", 0)</f>
        <v>657.93439999999998</v>
      </c>
      <c r="N210" s="3" cm="1">
        <f t="array" ref="N210">_xlfn.IFS(G210="Open", L210, G210="Partial", L210*0.5, G210="Paid", 0)</f>
        <v>0</v>
      </c>
    </row>
    <row r="211" spans="1:14" x14ac:dyDescent="0.25">
      <c r="A211" t="s">
        <v>215</v>
      </c>
      <c r="B211" t="s">
        <v>806</v>
      </c>
      <c r="C211" s="5">
        <v>45392</v>
      </c>
      <c r="D211" s="5">
        <v>45422</v>
      </c>
      <c r="E211" s="3">
        <v>4435.17</v>
      </c>
      <c r="F211" t="s">
        <v>814</v>
      </c>
      <c r="G211" t="s">
        <v>816</v>
      </c>
      <c r="H211" s="5" t="s">
        <v>825</v>
      </c>
      <c r="I211" s="7">
        <f t="shared" si="3"/>
        <v>684</v>
      </c>
      <c r="J211" s="13" t="str" cm="1">
        <f t="array" ref="J211">_xlfn.IFS(I211=0, "Settled", I211&lt;=30, "1-30", I211&lt;=90, "31-90", I211&lt;=365, "91-365", I211&gt;365, "1 Year+")</f>
        <v>1 Year+</v>
      </c>
      <c r="K211" t="s">
        <v>819</v>
      </c>
      <c r="L211" s="3" cm="1">
        <f t="array" ref="L211">_xlfn.IFS(F211="AUD",E211*$V$2,F211="CAD",E211*$V$3,F211="EUR",E211*$V$4,F211="GBP",E211*$V$5,F211="USD",E211*$V$6)</f>
        <v>4435.17</v>
      </c>
      <c r="M211" s="3" cm="1">
        <f t="array" ref="M211">_xlfn.IFS(G211="Paid", L211, G211="Partial", L211*0.5, G211="Open", 0)</f>
        <v>0</v>
      </c>
      <c r="N211" s="3" cm="1">
        <f t="array" ref="N211">_xlfn.IFS(G211="Open", L211, G211="Partial", L211*0.5, G211="Paid", 0)</f>
        <v>4435.17</v>
      </c>
    </row>
    <row r="212" spans="1:14" x14ac:dyDescent="0.25">
      <c r="A212" t="s">
        <v>216</v>
      </c>
      <c r="B212" t="s">
        <v>806</v>
      </c>
      <c r="C212" s="5">
        <v>44948</v>
      </c>
      <c r="D212" s="5">
        <v>44978</v>
      </c>
      <c r="E212" s="3">
        <v>2626.85</v>
      </c>
      <c r="F212" t="s">
        <v>812</v>
      </c>
      <c r="G212" t="s">
        <v>816</v>
      </c>
      <c r="H212" s="5" t="s">
        <v>825</v>
      </c>
      <c r="I212" s="7">
        <f t="shared" si="3"/>
        <v>1128</v>
      </c>
      <c r="J212" s="13" t="str" cm="1">
        <f t="array" ref="J212">_xlfn.IFS(I212=0, "Settled", I212&lt;=30, "1-30", I212&lt;=90, "31-90", I212&lt;=365, "91-365", I212&gt;365, "1 Year+")</f>
        <v>1 Year+</v>
      </c>
      <c r="K212" t="s">
        <v>819</v>
      </c>
      <c r="L212" s="3" cm="1">
        <f t="array" ref="L212">_xlfn.IFS(F212="AUD",E212*$V$2,F212="CAD",E212*$V$3,F212="EUR",E212*$V$4,F212="GBP",E212*$V$5,F212="USD",E212*$V$6)</f>
        <v>3625.0529999999994</v>
      </c>
      <c r="M212" s="3" cm="1">
        <f t="array" ref="M212">_xlfn.IFS(G212="Paid", L212, G212="Partial", L212*0.5, G212="Open", 0)</f>
        <v>0</v>
      </c>
      <c r="N212" s="3" cm="1">
        <f t="array" ref="N212">_xlfn.IFS(G212="Open", L212, G212="Partial", L212*0.5, G212="Paid", 0)</f>
        <v>3625.0529999999994</v>
      </c>
    </row>
    <row r="213" spans="1:14" x14ac:dyDescent="0.25">
      <c r="A213" t="s">
        <v>217</v>
      </c>
      <c r="B213" t="s">
        <v>806</v>
      </c>
      <c r="C213" s="5">
        <v>45460</v>
      </c>
      <c r="D213" s="5">
        <v>45490</v>
      </c>
      <c r="E213" s="3">
        <v>4803.24</v>
      </c>
      <c r="F213" t="s">
        <v>814</v>
      </c>
      <c r="G213" t="s">
        <v>817</v>
      </c>
      <c r="H213" s="5" t="s">
        <v>825</v>
      </c>
      <c r="I213" s="7">
        <f t="shared" si="3"/>
        <v>616</v>
      </c>
      <c r="J213" s="13" t="str" cm="1">
        <f t="array" ref="J213">_xlfn.IFS(I213=0, "Settled", I213&lt;=30, "1-30", I213&lt;=90, "31-90", I213&lt;=365, "91-365", I213&gt;365, "1 Year+")</f>
        <v>1 Year+</v>
      </c>
      <c r="K213" t="s">
        <v>819</v>
      </c>
      <c r="L213" s="3" cm="1">
        <f t="array" ref="L213">_xlfn.IFS(F213="AUD",E213*$V$2,F213="CAD",E213*$V$3,F213="EUR",E213*$V$4,F213="GBP",E213*$V$5,F213="USD",E213*$V$6)</f>
        <v>4803.24</v>
      </c>
      <c r="M213" s="3" cm="1">
        <f t="array" ref="M213">_xlfn.IFS(G213="Paid", L213, G213="Partial", L213*0.5, G213="Open", 0)</f>
        <v>2401.62</v>
      </c>
      <c r="N213" s="3" cm="1">
        <f t="array" ref="N213">_xlfn.IFS(G213="Open", L213, G213="Partial", L213*0.5, G213="Paid", 0)</f>
        <v>2401.62</v>
      </c>
    </row>
    <row r="214" spans="1:14" x14ac:dyDescent="0.25">
      <c r="A214" t="s">
        <v>218</v>
      </c>
      <c r="B214" t="s">
        <v>807</v>
      </c>
      <c r="C214" s="5">
        <v>45496</v>
      </c>
      <c r="D214" s="5">
        <v>45526</v>
      </c>
      <c r="E214" s="3">
        <v>3007.22</v>
      </c>
      <c r="F214" t="s">
        <v>814</v>
      </c>
      <c r="G214" t="s">
        <v>818</v>
      </c>
      <c r="H214" s="5">
        <v>45526</v>
      </c>
      <c r="I214" s="7">
        <f t="shared" si="3"/>
        <v>0</v>
      </c>
      <c r="J214" s="13" t="str" cm="1">
        <f t="array" ref="J214">_xlfn.IFS(I214=0, "Settled", I214&lt;=30, "1-30", I214&lt;=90, "31-90", I214&lt;=365, "91-365", I214&gt;365, "1 Year+")</f>
        <v>Settled</v>
      </c>
      <c r="K214" t="s">
        <v>819</v>
      </c>
      <c r="L214" s="3" cm="1">
        <f t="array" ref="L214">_xlfn.IFS(F214="AUD",E214*$V$2,F214="CAD",E214*$V$3,F214="EUR",E214*$V$4,F214="GBP",E214*$V$5,F214="USD",E214*$V$6)</f>
        <v>3007.22</v>
      </c>
      <c r="M214" s="3" cm="1">
        <f t="array" ref="M214">_xlfn.IFS(G214="Paid", L214, G214="Partial", L214*0.5, G214="Open", 0)</f>
        <v>3007.22</v>
      </c>
      <c r="N214" s="3" cm="1">
        <f t="array" ref="N214">_xlfn.IFS(G214="Open", L214, G214="Partial", L214*0.5, G214="Paid", 0)</f>
        <v>0</v>
      </c>
    </row>
    <row r="215" spans="1:14" x14ac:dyDescent="0.25">
      <c r="A215" t="s">
        <v>219</v>
      </c>
      <c r="B215" t="s">
        <v>806</v>
      </c>
      <c r="C215" s="5">
        <v>45704</v>
      </c>
      <c r="D215" s="5">
        <v>45734</v>
      </c>
      <c r="E215" s="3">
        <v>4929.75</v>
      </c>
      <c r="F215" t="s">
        <v>812</v>
      </c>
      <c r="G215" t="s">
        <v>816</v>
      </c>
      <c r="H215" s="5" t="s">
        <v>825</v>
      </c>
      <c r="I215" s="7">
        <f t="shared" si="3"/>
        <v>372</v>
      </c>
      <c r="J215" s="13" t="str" cm="1">
        <f t="array" ref="J215">_xlfn.IFS(I215=0, "Settled", I215&lt;=30, "1-30", I215&lt;=90, "31-90", I215&lt;=365, "91-365", I215&gt;365, "1 Year+")</f>
        <v>1 Year+</v>
      </c>
      <c r="K215" t="s">
        <v>819</v>
      </c>
      <c r="L215" s="3" cm="1">
        <f t="array" ref="L215">_xlfn.IFS(F215="AUD",E215*$V$2,F215="CAD",E215*$V$3,F215="EUR",E215*$V$4,F215="GBP",E215*$V$5,F215="USD",E215*$V$6)</f>
        <v>6803.0549999999994</v>
      </c>
      <c r="M215" s="3" cm="1">
        <f t="array" ref="M215">_xlfn.IFS(G215="Paid", L215, G215="Partial", L215*0.5, G215="Open", 0)</f>
        <v>0</v>
      </c>
      <c r="N215" s="3" cm="1">
        <f t="array" ref="N215">_xlfn.IFS(G215="Open", L215, G215="Partial", L215*0.5, G215="Paid", 0)</f>
        <v>6803.0549999999994</v>
      </c>
    </row>
    <row r="216" spans="1:14" x14ac:dyDescent="0.25">
      <c r="A216" t="s">
        <v>220</v>
      </c>
      <c r="B216" t="s">
        <v>807</v>
      </c>
      <c r="C216" s="5">
        <v>45449</v>
      </c>
      <c r="D216" s="5">
        <v>45479</v>
      </c>
      <c r="E216" s="3">
        <v>1536.2</v>
      </c>
      <c r="F216" t="s">
        <v>811</v>
      </c>
      <c r="G216" t="s">
        <v>817</v>
      </c>
      <c r="H216" s="5" t="s">
        <v>825</v>
      </c>
      <c r="I216" s="7">
        <f t="shared" si="3"/>
        <v>627</v>
      </c>
      <c r="J216" s="13" t="str" cm="1">
        <f t="array" ref="J216">_xlfn.IFS(I216=0, "Settled", I216&lt;=30, "1-30", I216&lt;=90, "31-90", I216&lt;=365, "91-365", I216&gt;365, "1 Year+")</f>
        <v>1 Year+</v>
      </c>
      <c r="K216" t="s">
        <v>819</v>
      </c>
      <c r="L216" s="3" cm="1">
        <f t="array" ref="L216">_xlfn.IFS(F216="AUD",E216*$V$2,F216="CAD",E216*$V$3,F216="EUR",E216*$V$4,F216="GBP",E216*$V$5,F216="USD",E216*$V$6)</f>
        <v>1321.1320000000001</v>
      </c>
      <c r="M216" s="3" cm="1">
        <f t="array" ref="M216">_xlfn.IFS(G216="Paid", L216, G216="Partial", L216*0.5, G216="Open", 0)</f>
        <v>660.56600000000003</v>
      </c>
      <c r="N216" s="3" cm="1">
        <f t="array" ref="N216">_xlfn.IFS(G216="Open", L216, G216="Partial", L216*0.5, G216="Paid", 0)</f>
        <v>660.56600000000003</v>
      </c>
    </row>
    <row r="217" spans="1:14" x14ac:dyDescent="0.25">
      <c r="A217" t="s">
        <v>221</v>
      </c>
      <c r="B217" t="s">
        <v>807</v>
      </c>
      <c r="C217" s="5">
        <v>45491</v>
      </c>
      <c r="D217" s="5">
        <v>45521</v>
      </c>
      <c r="E217" s="3">
        <v>2978.71</v>
      </c>
      <c r="F217" t="s">
        <v>813</v>
      </c>
      <c r="G217" t="s">
        <v>817</v>
      </c>
      <c r="H217" s="5" t="s">
        <v>825</v>
      </c>
      <c r="I217" s="7">
        <f t="shared" si="3"/>
        <v>585</v>
      </c>
      <c r="J217" s="13" t="str" cm="1">
        <f t="array" ref="J217">_xlfn.IFS(I217=0, "Settled", I217&lt;=30, "1-30", I217&lt;=90, "31-90", I217&lt;=365, "91-365", I217&gt;365, "1 Year+")</f>
        <v>1 Year+</v>
      </c>
      <c r="K217" t="s">
        <v>819</v>
      </c>
      <c r="L217" s="3" cm="1">
        <f t="array" ref="L217">_xlfn.IFS(F217="AUD",E217*$V$2,F217="CAD",E217*$V$3,F217="EUR",E217*$V$4,F217="GBP",E217*$V$5,F217="USD",E217*$V$6)</f>
        <v>2234.0325000000003</v>
      </c>
      <c r="M217" s="3" cm="1">
        <f t="array" ref="M217">_xlfn.IFS(G217="Paid", L217, G217="Partial", L217*0.5, G217="Open", 0)</f>
        <v>1117.0162500000001</v>
      </c>
      <c r="N217" s="3" cm="1">
        <f t="array" ref="N217">_xlfn.IFS(G217="Open", L217, G217="Partial", L217*0.5, G217="Paid", 0)</f>
        <v>1117.0162500000001</v>
      </c>
    </row>
    <row r="218" spans="1:14" x14ac:dyDescent="0.25">
      <c r="A218" t="s">
        <v>222</v>
      </c>
      <c r="B218" t="s">
        <v>809</v>
      </c>
      <c r="C218" s="5">
        <v>45326</v>
      </c>
      <c r="D218" s="5">
        <v>45356</v>
      </c>
      <c r="E218" s="3">
        <v>915.17</v>
      </c>
      <c r="F218" t="s">
        <v>813</v>
      </c>
      <c r="G218" t="s">
        <v>818</v>
      </c>
      <c r="H218" s="5">
        <v>45356</v>
      </c>
      <c r="I218" s="7">
        <f t="shared" si="3"/>
        <v>0</v>
      </c>
      <c r="J218" s="13" t="str" cm="1">
        <f t="array" ref="J218">_xlfn.IFS(I218=0, "Settled", I218&lt;=30, "1-30", I218&lt;=90, "31-90", I218&lt;=365, "91-365", I218&gt;365, "1 Year+")</f>
        <v>Settled</v>
      </c>
      <c r="K218" t="s">
        <v>819</v>
      </c>
      <c r="L218" s="3" cm="1">
        <f t="array" ref="L218">_xlfn.IFS(F218="AUD",E218*$V$2,F218="CAD",E218*$V$3,F218="EUR",E218*$V$4,F218="GBP",E218*$V$5,F218="USD",E218*$V$6)</f>
        <v>686.37749999999994</v>
      </c>
      <c r="M218" s="3" cm="1">
        <f t="array" ref="M218">_xlfn.IFS(G218="Paid", L218, G218="Partial", L218*0.5, G218="Open", 0)</f>
        <v>686.37749999999994</v>
      </c>
      <c r="N218" s="3" cm="1">
        <f t="array" ref="N218">_xlfn.IFS(G218="Open", L218, G218="Partial", L218*0.5, G218="Paid", 0)</f>
        <v>0</v>
      </c>
    </row>
    <row r="219" spans="1:14" x14ac:dyDescent="0.25">
      <c r="A219" t="s">
        <v>223</v>
      </c>
      <c r="B219" t="s">
        <v>807</v>
      </c>
      <c r="C219" s="5">
        <v>45109</v>
      </c>
      <c r="D219" s="5">
        <v>45139</v>
      </c>
      <c r="E219" s="3">
        <v>3188.52</v>
      </c>
      <c r="F219" t="s">
        <v>813</v>
      </c>
      <c r="G219" t="s">
        <v>817</v>
      </c>
      <c r="H219" s="5" t="s">
        <v>825</v>
      </c>
      <c r="I219" s="7">
        <f t="shared" si="3"/>
        <v>967</v>
      </c>
      <c r="J219" s="13" t="str" cm="1">
        <f t="array" ref="J219">_xlfn.IFS(I219=0, "Settled", I219&lt;=30, "1-30", I219&lt;=90, "31-90", I219&lt;=365, "91-365", I219&gt;365, "1 Year+")</f>
        <v>1 Year+</v>
      </c>
      <c r="K219" t="s">
        <v>819</v>
      </c>
      <c r="L219" s="3" cm="1">
        <f t="array" ref="L219">_xlfn.IFS(F219="AUD",E219*$V$2,F219="CAD",E219*$V$3,F219="EUR",E219*$V$4,F219="GBP",E219*$V$5,F219="USD",E219*$V$6)</f>
        <v>2391.39</v>
      </c>
      <c r="M219" s="3" cm="1">
        <f t="array" ref="M219">_xlfn.IFS(G219="Paid", L219, G219="Partial", L219*0.5, G219="Open", 0)</f>
        <v>1195.6949999999999</v>
      </c>
      <c r="N219" s="3" cm="1">
        <f t="array" ref="N219">_xlfn.IFS(G219="Open", L219, G219="Partial", L219*0.5, G219="Paid", 0)</f>
        <v>1195.6949999999999</v>
      </c>
    </row>
    <row r="220" spans="1:14" x14ac:dyDescent="0.25">
      <c r="A220" t="s">
        <v>224</v>
      </c>
      <c r="B220" t="s">
        <v>808</v>
      </c>
      <c r="C220" s="5">
        <v>45432</v>
      </c>
      <c r="D220" s="5">
        <v>45462</v>
      </c>
      <c r="E220" s="3">
        <v>2307.79</v>
      </c>
      <c r="F220" t="s">
        <v>814</v>
      </c>
      <c r="G220" t="s">
        <v>817</v>
      </c>
      <c r="H220" s="5" t="s">
        <v>825</v>
      </c>
      <c r="I220" s="7">
        <f t="shared" si="3"/>
        <v>644</v>
      </c>
      <c r="J220" s="13" t="str" cm="1">
        <f t="array" ref="J220">_xlfn.IFS(I220=0, "Settled", I220&lt;=30, "1-30", I220&lt;=90, "31-90", I220&lt;=365, "91-365", I220&gt;365, "1 Year+")</f>
        <v>1 Year+</v>
      </c>
      <c r="K220" t="s">
        <v>819</v>
      </c>
      <c r="L220" s="3" cm="1">
        <f t="array" ref="L220">_xlfn.IFS(F220="AUD",E220*$V$2,F220="CAD",E220*$V$3,F220="EUR",E220*$V$4,F220="GBP",E220*$V$5,F220="USD",E220*$V$6)</f>
        <v>2307.79</v>
      </c>
      <c r="M220" s="3" cm="1">
        <f t="array" ref="M220">_xlfn.IFS(G220="Paid", L220, G220="Partial", L220*0.5, G220="Open", 0)</f>
        <v>1153.895</v>
      </c>
      <c r="N220" s="3" cm="1">
        <f t="array" ref="N220">_xlfn.IFS(G220="Open", L220, G220="Partial", L220*0.5, G220="Paid", 0)</f>
        <v>1153.895</v>
      </c>
    </row>
    <row r="221" spans="1:14" x14ac:dyDescent="0.25">
      <c r="A221" t="s">
        <v>225</v>
      </c>
      <c r="B221" t="s">
        <v>808</v>
      </c>
      <c r="C221" s="5">
        <v>45251</v>
      </c>
      <c r="D221" s="5">
        <v>45281</v>
      </c>
      <c r="E221" s="3">
        <v>2903.71</v>
      </c>
      <c r="F221" t="s">
        <v>811</v>
      </c>
      <c r="G221" t="s">
        <v>817</v>
      </c>
      <c r="H221" s="5" t="s">
        <v>825</v>
      </c>
      <c r="I221" s="7">
        <f t="shared" si="3"/>
        <v>825</v>
      </c>
      <c r="J221" s="13" t="str" cm="1">
        <f t="array" ref="J221">_xlfn.IFS(I221=0, "Settled", I221&lt;=30, "1-30", I221&lt;=90, "31-90", I221&lt;=365, "91-365", I221&gt;365, "1 Year+")</f>
        <v>1 Year+</v>
      </c>
      <c r="K221" t="s">
        <v>819</v>
      </c>
      <c r="L221" s="3" cm="1">
        <f t="array" ref="L221">_xlfn.IFS(F221="AUD",E221*$V$2,F221="CAD",E221*$V$3,F221="EUR",E221*$V$4,F221="GBP",E221*$V$5,F221="USD",E221*$V$6)</f>
        <v>2497.1905999999999</v>
      </c>
      <c r="M221" s="3" cm="1">
        <f t="array" ref="M221">_xlfn.IFS(G221="Paid", L221, G221="Partial", L221*0.5, G221="Open", 0)</f>
        <v>1248.5953</v>
      </c>
      <c r="N221" s="3" cm="1">
        <f t="array" ref="N221">_xlfn.IFS(G221="Open", L221, G221="Partial", L221*0.5, G221="Paid", 0)</f>
        <v>1248.5953</v>
      </c>
    </row>
    <row r="222" spans="1:14" x14ac:dyDescent="0.25">
      <c r="A222" t="s">
        <v>226</v>
      </c>
      <c r="B222" t="s">
        <v>808</v>
      </c>
      <c r="C222" s="5">
        <v>45432</v>
      </c>
      <c r="D222" s="5">
        <v>45462</v>
      </c>
      <c r="E222" s="3">
        <v>2565.02</v>
      </c>
      <c r="F222" t="s">
        <v>814</v>
      </c>
      <c r="G222" t="s">
        <v>817</v>
      </c>
      <c r="H222" s="5" t="s">
        <v>825</v>
      </c>
      <c r="I222" s="7">
        <f t="shared" si="3"/>
        <v>644</v>
      </c>
      <c r="J222" s="13" t="str" cm="1">
        <f t="array" ref="J222">_xlfn.IFS(I222=0, "Settled", I222&lt;=30, "1-30", I222&lt;=90, "31-90", I222&lt;=365, "91-365", I222&gt;365, "1 Year+")</f>
        <v>1 Year+</v>
      </c>
      <c r="K222" t="s">
        <v>819</v>
      </c>
      <c r="L222" s="3" cm="1">
        <f t="array" ref="L222">_xlfn.IFS(F222="AUD",E222*$V$2,F222="CAD",E222*$V$3,F222="EUR",E222*$V$4,F222="GBP",E222*$V$5,F222="USD",E222*$V$6)</f>
        <v>2565.02</v>
      </c>
      <c r="M222" s="3" cm="1">
        <f t="array" ref="M222">_xlfn.IFS(G222="Paid", L222, G222="Partial", L222*0.5, G222="Open", 0)</f>
        <v>1282.51</v>
      </c>
      <c r="N222" s="3" cm="1">
        <f t="array" ref="N222">_xlfn.IFS(G222="Open", L222, G222="Partial", L222*0.5, G222="Paid", 0)</f>
        <v>1282.51</v>
      </c>
    </row>
    <row r="223" spans="1:14" x14ac:dyDescent="0.25">
      <c r="A223" t="s">
        <v>227</v>
      </c>
      <c r="B223" t="s">
        <v>807</v>
      </c>
      <c r="C223" s="5">
        <v>45790</v>
      </c>
      <c r="D223" s="5">
        <v>45820</v>
      </c>
      <c r="E223" s="3">
        <v>2121.21</v>
      </c>
      <c r="F223" t="s">
        <v>814</v>
      </c>
      <c r="G223" t="s">
        <v>816</v>
      </c>
      <c r="H223" s="5" t="s">
        <v>825</v>
      </c>
      <c r="I223" s="7">
        <f t="shared" si="3"/>
        <v>286</v>
      </c>
      <c r="J223" s="13" t="str" cm="1">
        <f t="array" ref="J223">_xlfn.IFS(I223=0, "Settled", I223&lt;=30, "1-30", I223&lt;=90, "31-90", I223&lt;=365, "91-365", I223&gt;365, "1 Year+")</f>
        <v>91-365</v>
      </c>
      <c r="K223" t="s">
        <v>819</v>
      </c>
      <c r="L223" s="3" cm="1">
        <f t="array" ref="L223">_xlfn.IFS(F223="AUD",E223*$V$2,F223="CAD",E223*$V$3,F223="EUR",E223*$V$4,F223="GBP",E223*$V$5,F223="USD",E223*$V$6)</f>
        <v>2121.21</v>
      </c>
      <c r="M223" s="3" cm="1">
        <f t="array" ref="M223">_xlfn.IFS(G223="Paid", L223, G223="Partial", L223*0.5, G223="Open", 0)</f>
        <v>0</v>
      </c>
      <c r="N223" s="3" cm="1">
        <f t="array" ref="N223">_xlfn.IFS(G223="Open", L223, G223="Partial", L223*0.5, G223="Paid", 0)</f>
        <v>2121.21</v>
      </c>
    </row>
    <row r="224" spans="1:14" x14ac:dyDescent="0.25">
      <c r="A224" t="s">
        <v>228</v>
      </c>
      <c r="B224" t="s">
        <v>807</v>
      </c>
      <c r="C224" s="5">
        <v>45748</v>
      </c>
      <c r="D224" s="5">
        <v>45778</v>
      </c>
      <c r="E224" s="3">
        <v>1273.9000000000001</v>
      </c>
      <c r="F224" t="s">
        <v>811</v>
      </c>
      <c r="G224" t="s">
        <v>816</v>
      </c>
      <c r="H224" s="5" t="s">
        <v>825</v>
      </c>
      <c r="I224" s="7">
        <f t="shared" si="3"/>
        <v>328</v>
      </c>
      <c r="J224" s="13" t="str" cm="1">
        <f t="array" ref="J224">_xlfn.IFS(I224=0, "Settled", I224&lt;=30, "1-30", I224&lt;=90, "31-90", I224&lt;=365, "91-365", I224&gt;365, "1 Year+")</f>
        <v>91-365</v>
      </c>
      <c r="K224" t="s">
        <v>819</v>
      </c>
      <c r="L224" s="3" cm="1">
        <f t="array" ref="L224">_xlfn.IFS(F224="AUD",E224*$V$2,F224="CAD",E224*$V$3,F224="EUR",E224*$V$4,F224="GBP",E224*$V$5,F224="USD",E224*$V$6)</f>
        <v>1095.5540000000001</v>
      </c>
      <c r="M224" s="3" cm="1">
        <f t="array" ref="M224">_xlfn.IFS(G224="Paid", L224, G224="Partial", L224*0.5, G224="Open", 0)</f>
        <v>0</v>
      </c>
      <c r="N224" s="3" cm="1">
        <f t="array" ref="N224">_xlfn.IFS(G224="Open", L224, G224="Partial", L224*0.5, G224="Paid", 0)</f>
        <v>1095.5540000000001</v>
      </c>
    </row>
    <row r="225" spans="1:14" x14ac:dyDescent="0.25">
      <c r="A225" t="s">
        <v>229</v>
      </c>
      <c r="B225" t="s">
        <v>807</v>
      </c>
      <c r="C225" s="5">
        <v>45711</v>
      </c>
      <c r="D225" s="5">
        <v>45741</v>
      </c>
      <c r="E225" s="3">
        <v>3975.5</v>
      </c>
      <c r="F225" t="s">
        <v>815</v>
      </c>
      <c r="G225" t="s">
        <v>816</v>
      </c>
      <c r="H225" s="5" t="s">
        <v>825</v>
      </c>
      <c r="I225" s="7">
        <f t="shared" si="3"/>
        <v>365</v>
      </c>
      <c r="J225" s="13" t="str" cm="1">
        <f t="array" ref="J225">_xlfn.IFS(I225=0, "Settled", I225&lt;=30, "1-30", I225&lt;=90, "31-90", I225&lt;=365, "91-365", I225&gt;365, "1 Year+")</f>
        <v>91-365</v>
      </c>
      <c r="K225" t="s">
        <v>819</v>
      </c>
      <c r="L225" s="3" cm="1">
        <f t="array" ref="L225">_xlfn.IFS(F225="AUD",E225*$V$2,F225="CAD",E225*$V$3,F225="EUR",E225*$V$4,F225="GBP",E225*$V$5,F225="USD",E225*$V$6)</f>
        <v>5764.4749999999995</v>
      </c>
      <c r="M225" s="3" cm="1">
        <f t="array" ref="M225">_xlfn.IFS(G225="Paid", L225, G225="Partial", L225*0.5, G225="Open", 0)</f>
        <v>0</v>
      </c>
      <c r="N225" s="3" cm="1">
        <f t="array" ref="N225">_xlfn.IFS(G225="Open", L225, G225="Partial", L225*0.5, G225="Paid", 0)</f>
        <v>5764.4749999999995</v>
      </c>
    </row>
    <row r="226" spans="1:14" x14ac:dyDescent="0.25">
      <c r="A226" t="s">
        <v>230</v>
      </c>
      <c r="B226" t="s">
        <v>806</v>
      </c>
      <c r="C226" s="5">
        <v>45588</v>
      </c>
      <c r="D226" s="5">
        <v>45618</v>
      </c>
      <c r="E226" s="3">
        <v>2421.44</v>
      </c>
      <c r="F226" t="s">
        <v>815</v>
      </c>
      <c r="G226" t="s">
        <v>816</v>
      </c>
      <c r="H226" s="5" t="s">
        <v>825</v>
      </c>
      <c r="I226" s="7">
        <f t="shared" si="3"/>
        <v>488</v>
      </c>
      <c r="J226" s="13" t="str" cm="1">
        <f t="array" ref="J226">_xlfn.IFS(I226=0, "Settled", I226&lt;=30, "1-30", I226&lt;=90, "31-90", I226&lt;=365, "91-365", I226&gt;365, "1 Year+")</f>
        <v>1 Year+</v>
      </c>
      <c r="K226" t="s">
        <v>819</v>
      </c>
      <c r="L226" s="3" cm="1">
        <f t="array" ref="L226">_xlfn.IFS(F226="AUD",E226*$V$2,F226="CAD",E226*$V$3,F226="EUR",E226*$V$4,F226="GBP",E226*$V$5,F226="USD",E226*$V$6)</f>
        <v>3511.0880000000002</v>
      </c>
      <c r="M226" s="3" cm="1">
        <f t="array" ref="M226">_xlfn.IFS(G226="Paid", L226, G226="Partial", L226*0.5, G226="Open", 0)</f>
        <v>0</v>
      </c>
      <c r="N226" s="3" cm="1">
        <f t="array" ref="N226">_xlfn.IFS(G226="Open", L226, G226="Partial", L226*0.5, G226="Paid", 0)</f>
        <v>3511.0880000000002</v>
      </c>
    </row>
    <row r="227" spans="1:14" x14ac:dyDescent="0.25">
      <c r="A227" t="s">
        <v>231</v>
      </c>
      <c r="B227" t="s">
        <v>806</v>
      </c>
      <c r="C227" s="5">
        <v>45688</v>
      </c>
      <c r="D227" s="5">
        <v>45718</v>
      </c>
      <c r="E227" s="3">
        <v>2458.0100000000002</v>
      </c>
      <c r="F227" t="s">
        <v>811</v>
      </c>
      <c r="G227" t="s">
        <v>816</v>
      </c>
      <c r="H227" s="5" t="s">
        <v>825</v>
      </c>
      <c r="I227" s="7">
        <f t="shared" si="3"/>
        <v>388</v>
      </c>
      <c r="J227" s="13" t="str" cm="1">
        <f t="array" ref="J227">_xlfn.IFS(I227=0, "Settled", I227&lt;=30, "1-30", I227&lt;=90, "31-90", I227&lt;=365, "91-365", I227&gt;365, "1 Year+")</f>
        <v>1 Year+</v>
      </c>
      <c r="K227" t="s">
        <v>819</v>
      </c>
      <c r="L227" s="3" cm="1">
        <f t="array" ref="L227">_xlfn.IFS(F227="AUD",E227*$V$2,F227="CAD",E227*$V$3,F227="EUR",E227*$V$4,F227="GBP",E227*$V$5,F227="USD",E227*$V$6)</f>
        <v>2113.8886000000002</v>
      </c>
      <c r="M227" s="3" cm="1">
        <f t="array" ref="M227">_xlfn.IFS(G227="Paid", L227, G227="Partial", L227*0.5, G227="Open", 0)</f>
        <v>0</v>
      </c>
      <c r="N227" s="3" cm="1">
        <f t="array" ref="N227">_xlfn.IFS(G227="Open", L227, G227="Partial", L227*0.5, G227="Paid", 0)</f>
        <v>2113.8886000000002</v>
      </c>
    </row>
    <row r="228" spans="1:14" x14ac:dyDescent="0.25">
      <c r="A228" t="s">
        <v>232</v>
      </c>
      <c r="B228" t="s">
        <v>806</v>
      </c>
      <c r="C228" s="5">
        <v>45136</v>
      </c>
      <c r="D228" s="5">
        <v>45166</v>
      </c>
      <c r="E228" s="3">
        <v>2854.39</v>
      </c>
      <c r="F228" t="s">
        <v>811</v>
      </c>
      <c r="G228" t="s">
        <v>818</v>
      </c>
      <c r="H228" s="5">
        <v>45166</v>
      </c>
      <c r="I228" s="7">
        <f t="shared" si="3"/>
        <v>0</v>
      </c>
      <c r="J228" s="13" t="str" cm="1">
        <f t="array" ref="J228">_xlfn.IFS(I228=0, "Settled", I228&lt;=30, "1-30", I228&lt;=90, "31-90", I228&lt;=365, "91-365", I228&gt;365, "1 Year+")</f>
        <v>Settled</v>
      </c>
      <c r="K228" t="s">
        <v>819</v>
      </c>
      <c r="L228" s="3" cm="1">
        <f t="array" ref="L228">_xlfn.IFS(F228="AUD",E228*$V$2,F228="CAD",E228*$V$3,F228="EUR",E228*$V$4,F228="GBP",E228*$V$5,F228="USD",E228*$V$6)</f>
        <v>2454.7754</v>
      </c>
      <c r="M228" s="3" cm="1">
        <f t="array" ref="M228">_xlfn.IFS(G228="Paid", L228, G228="Partial", L228*0.5, G228="Open", 0)</f>
        <v>2454.7754</v>
      </c>
      <c r="N228" s="3" cm="1">
        <f t="array" ref="N228">_xlfn.IFS(G228="Open", L228, G228="Partial", L228*0.5, G228="Paid", 0)</f>
        <v>0</v>
      </c>
    </row>
    <row r="229" spans="1:14" x14ac:dyDescent="0.25">
      <c r="A229" t="s">
        <v>233</v>
      </c>
      <c r="B229" t="s">
        <v>807</v>
      </c>
      <c r="C229" s="5">
        <v>45319</v>
      </c>
      <c r="D229" s="5">
        <v>45349</v>
      </c>
      <c r="E229" s="3">
        <v>2918.95</v>
      </c>
      <c r="F229" t="s">
        <v>811</v>
      </c>
      <c r="G229" t="s">
        <v>816</v>
      </c>
      <c r="H229" s="5" t="s">
        <v>825</v>
      </c>
      <c r="I229" s="7">
        <f t="shared" si="3"/>
        <v>757</v>
      </c>
      <c r="J229" s="13" t="str" cm="1">
        <f t="array" ref="J229">_xlfn.IFS(I229=0, "Settled", I229&lt;=30, "1-30", I229&lt;=90, "31-90", I229&lt;=365, "91-365", I229&gt;365, "1 Year+")</f>
        <v>1 Year+</v>
      </c>
      <c r="K229" t="s">
        <v>819</v>
      </c>
      <c r="L229" s="3" cm="1">
        <f t="array" ref="L229">_xlfn.IFS(F229="AUD",E229*$V$2,F229="CAD",E229*$V$3,F229="EUR",E229*$V$4,F229="GBP",E229*$V$5,F229="USD",E229*$V$6)</f>
        <v>2510.297</v>
      </c>
      <c r="M229" s="3" cm="1">
        <f t="array" ref="M229">_xlfn.IFS(G229="Paid", L229, G229="Partial", L229*0.5, G229="Open", 0)</f>
        <v>0</v>
      </c>
      <c r="N229" s="3" cm="1">
        <f t="array" ref="N229">_xlfn.IFS(G229="Open", L229, G229="Partial", L229*0.5, G229="Paid", 0)</f>
        <v>2510.297</v>
      </c>
    </row>
    <row r="230" spans="1:14" x14ac:dyDescent="0.25">
      <c r="A230" t="s">
        <v>234</v>
      </c>
      <c r="B230" t="s">
        <v>809</v>
      </c>
      <c r="C230" s="5">
        <v>44997</v>
      </c>
      <c r="D230" s="5">
        <v>45027</v>
      </c>
      <c r="E230" s="3">
        <v>328.97</v>
      </c>
      <c r="F230" t="s">
        <v>814</v>
      </c>
      <c r="G230" t="s">
        <v>818</v>
      </c>
      <c r="H230" s="5">
        <v>45027</v>
      </c>
      <c r="I230" s="7">
        <f t="shared" si="3"/>
        <v>0</v>
      </c>
      <c r="J230" s="13" t="str" cm="1">
        <f t="array" ref="J230">_xlfn.IFS(I230=0, "Settled", I230&lt;=30, "1-30", I230&lt;=90, "31-90", I230&lt;=365, "91-365", I230&gt;365, "1 Year+")</f>
        <v>Settled</v>
      </c>
      <c r="K230" t="s">
        <v>819</v>
      </c>
      <c r="L230" s="3" cm="1">
        <f t="array" ref="L230">_xlfn.IFS(F230="AUD",E230*$V$2,F230="CAD",E230*$V$3,F230="EUR",E230*$V$4,F230="GBP",E230*$V$5,F230="USD",E230*$V$6)</f>
        <v>328.97</v>
      </c>
      <c r="M230" s="3" cm="1">
        <f t="array" ref="M230">_xlfn.IFS(G230="Paid", L230, G230="Partial", L230*0.5, G230="Open", 0)</f>
        <v>328.97</v>
      </c>
      <c r="N230" s="3" cm="1">
        <f t="array" ref="N230">_xlfn.IFS(G230="Open", L230, G230="Partial", L230*0.5, G230="Paid", 0)</f>
        <v>0</v>
      </c>
    </row>
    <row r="231" spans="1:14" x14ac:dyDescent="0.25">
      <c r="A231" t="s">
        <v>235</v>
      </c>
      <c r="B231" t="s">
        <v>809</v>
      </c>
      <c r="C231" s="5">
        <v>45523</v>
      </c>
      <c r="D231" s="5">
        <v>45553</v>
      </c>
      <c r="E231" s="3">
        <v>1213.71</v>
      </c>
      <c r="F231" t="s">
        <v>814</v>
      </c>
      <c r="G231" t="s">
        <v>816</v>
      </c>
      <c r="H231" s="5" t="s">
        <v>825</v>
      </c>
      <c r="I231" s="7">
        <f t="shared" si="3"/>
        <v>553</v>
      </c>
      <c r="J231" s="13" t="str" cm="1">
        <f t="array" ref="J231">_xlfn.IFS(I231=0, "Settled", I231&lt;=30, "1-30", I231&lt;=90, "31-90", I231&lt;=365, "91-365", I231&gt;365, "1 Year+")</f>
        <v>1 Year+</v>
      </c>
      <c r="K231" t="s">
        <v>819</v>
      </c>
      <c r="L231" s="3" cm="1">
        <f t="array" ref="L231">_xlfn.IFS(F231="AUD",E231*$V$2,F231="CAD",E231*$V$3,F231="EUR",E231*$V$4,F231="GBP",E231*$V$5,F231="USD",E231*$V$6)</f>
        <v>1213.71</v>
      </c>
      <c r="M231" s="3" cm="1">
        <f t="array" ref="M231">_xlfn.IFS(G231="Paid", L231, G231="Partial", L231*0.5, G231="Open", 0)</f>
        <v>0</v>
      </c>
      <c r="N231" s="3" cm="1">
        <f t="array" ref="N231">_xlfn.IFS(G231="Open", L231, G231="Partial", L231*0.5, G231="Paid", 0)</f>
        <v>1213.71</v>
      </c>
    </row>
    <row r="232" spans="1:14" x14ac:dyDescent="0.25">
      <c r="A232" t="s">
        <v>236</v>
      </c>
      <c r="B232" t="s">
        <v>808</v>
      </c>
      <c r="C232" s="5">
        <v>45772</v>
      </c>
      <c r="D232" s="5">
        <v>45802</v>
      </c>
      <c r="E232" s="3">
        <v>454.59</v>
      </c>
      <c r="F232" t="s">
        <v>814</v>
      </c>
      <c r="G232" t="s">
        <v>816</v>
      </c>
      <c r="H232" s="5" t="s">
        <v>825</v>
      </c>
      <c r="I232" s="7">
        <f t="shared" si="3"/>
        <v>304</v>
      </c>
      <c r="J232" s="13" t="str" cm="1">
        <f t="array" ref="J232">_xlfn.IFS(I232=0, "Settled", I232&lt;=30, "1-30", I232&lt;=90, "31-90", I232&lt;=365, "91-365", I232&gt;365, "1 Year+")</f>
        <v>91-365</v>
      </c>
      <c r="K232" t="s">
        <v>819</v>
      </c>
      <c r="L232" s="3" cm="1">
        <f t="array" ref="L232">_xlfn.IFS(F232="AUD",E232*$V$2,F232="CAD",E232*$V$3,F232="EUR",E232*$V$4,F232="GBP",E232*$V$5,F232="USD",E232*$V$6)</f>
        <v>454.59</v>
      </c>
      <c r="M232" s="3" cm="1">
        <f t="array" ref="M232">_xlfn.IFS(G232="Paid", L232, G232="Partial", L232*0.5, G232="Open", 0)</f>
        <v>0</v>
      </c>
      <c r="N232" s="3" cm="1">
        <f t="array" ref="N232">_xlfn.IFS(G232="Open", L232, G232="Partial", L232*0.5, G232="Paid", 0)</f>
        <v>454.59</v>
      </c>
    </row>
    <row r="233" spans="1:14" x14ac:dyDescent="0.25">
      <c r="A233" t="s">
        <v>237</v>
      </c>
      <c r="B233" t="s">
        <v>808</v>
      </c>
      <c r="C233" s="5">
        <v>45040</v>
      </c>
      <c r="D233" s="5">
        <v>45070</v>
      </c>
      <c r="E233" s="3">
        <v>4278.37</v>
      </c>
      <c r="F233" t="s">
        <v>812</v>
      </c>
      <c r="G233" t="s">
        <v>818</v>
      </c>
      <c r="H233" s="5">
        <v>45070</v>
      </c>
      <c r="I233" s="7">
        <f t="shared" si="3"/>
        <v>0</v>
      </c>
      <c r="J233" s="13" t="str" cm="1">
        <f t="array" ref="J233">_xlfn.IFS(I233=0, "Settled", I233&lt;=30, "1-30", I233&lt;=90, "31-90", I233&lt;=365, "91-365", I233&gt;365, "1 Year+")</f>
        <v>Settled</v>
      </c>
      <c r="K233" t="s">
        <v>819</v>
      </c>
      <c r="L233" s="3" cm="1">
        <f t="array" ref="L233">_xlfn.IFS(F233="AUD",E233*$V$2,F233="CAD",E233*$V$3,F233="EUR",E233*$V$4,F233="GBP",E233*$V$5,F233="USD",E233*$V$6)</f>
        <v>5904.150599999999</v>
      </c>
      <c r="M233" s="3" cm="1">
        <f t="array" ref="M233">_xlfn.IFS(G233="Paid", L233, G233="Partial", L233*0.5, G233="Open", 0)</f>
        <v>5904.150599999999</v>
      </c>
      <c r="N233" s="3" cm="1">
        <f t="array" ref="N233">_xlfn.IFS(G233="Open", L233, G233="Partial", L233*0.5, G233="Paid", 0)</f>
        <v>0</v>
      </c>
    </row>
    <row r="234" spans="1:14" x14ac:dyDescent="0.25">
      <c r="A234" t="s">
        <v>238</v>
      </c>
      <c r="B234" t="s">
        <v>806</v>
      </c>
      <c r="C234" s="5">
        <v>45524</v>
      </c>
      <c r="D234" s="5">
        <v>45554</v>
      </c>
      <c r="E234" s="3">
        <v>3048.16</v>
      </c>
      <c r="F234" t="s">
        <v>814</v>
      </c>
      <c r="G234" t="s">
        <v>816</v>
      </c>
      <c r="H234" s="5" t="s">
        <v>825</v>
      </c>
      <c r="I234" s="7">
        <f t="shared" si="3"/>
        <v>552</v>
      </c>
      <c r="J234" s="13" t="str" cm="1">
        <f t="array" ref="J234">_xlfn.IFS(I234=0, "Settled", I234&lt;=30, "1-30", I234&lt;=90, "31-90", I234&lt;=365, "91-365", I234&gt;365, "1 Year+")</f>
        <v>1 Year+</v>
      </c>
      <c r="K234" t="s">
        <v>819</v>
      </c>
      <c r="L234" s="3" cm="1">
        <f t="array" ref="L234">_xlfn.IFS(F234="AUD",E234*$V$2,F234="CAD",E234*$V$3,F234="EUR",E234*$V$4,F234="GBP",E234*$V$5,F234="USD",E234*$V$6)</f>
        <v>3048.16</v>
      </c>
      <c r="M234" s="3" cm="1">
        <f t="array" ref="M234">_xlfn.IFS(G234="Paid", L234, G234="Partial", L234*0.5, G234="Open", 0)</f>
        <v>0</v>
      </c>
      <c r="N234" s="3" cm="1">
        <f t="array" ref="N234">_xlfn.IFS(G234="Open", L234, G234="Partial", L234*0.5, G234="Paid", 0)</f>
        <v>3048.16</v>
      </c>
    </row>
    <row r="235" spans="1:14" x14ac:dyDescent="0.25">
      <c r="A235" t="s">
        <v>239</v>
      </c>
      <c r="B235" t="s">
        <v>809</v>
      </c>
      <c r="C235" s="5">
        <v>45065</v>
      </c>
      <c r="D235" s="5">
        <v>45095</v>
      </c>
      <c r="E235" s="3">
        <v>4611.88</v>
      </c>
      <c r="F235" t="s">
        <v>815</v>
      </c>
      <c r="G235" t="s">
        <v>817</v>
      </c>
      <c r="H235" s="5" t="s">
        <v>825</v>
      </c>
      <c r="I235" s="7">
        <f t="shared" si="3"/>
        <v>1011</v>
      </c>
      <c r="J235" s="13" t="str" cm="1">
        <f t="array" ref="J235">_xlfn.IFS(I235=0, "Settled", I235&lt;=30, "1-30", I235&lt;=90, "31-90", I235&lt;=365, "91-365", I235&gt;365, "1 Year+")</f>
        <v>1 Year+</v>
      </c>
      <c r="K235" t="s">
        <v>819</v>
      </c>
      <c r="L235" s="3" cm="1">
        <f t="array" ref="L235">_xlfn.IFS(F235="AUD",E235*$V$2,F235="CAD",E235*$V$3,F235="EUR",E235*$V$4,F235="GBP",E235*$V$5,F235="USD",E235*$V$6)</f>
        <v>6687.2259999999997</v>
      </c>
      <c r="M235" s="3" cm="1">
        <f t="array" ref="M235">_xlfn.IFS(G235="Paid", L235, G235="Partial", L235*0.5, G235="Open", 0)</f>
        <v>3343.6129999999998</v>
      </c>
      <c r="N235" s="3" cm="1">
        <f t="array" ref="N235">_xlfn.IFS(G235="Open", L235, G235="Partial", L235*0.5, G235="Paid", 0)</f>
        <v>3343.6129999999998</v>
      </c>
    </row>
    <row r="236" spans="1:14" x14ac:dyDescent="0.25">
      <c r="A236" t="s">
        <v>240</v>
      </c>
      <c r="B236" t="s">
        <v>806</v>
      </c>
      <c r="C236" s="5">
        <v>45315</v>
      </c>
      <c r="D236" s="5">
        <v>45345</v>
      </c>
      <c r="E236" s="3">
        <v>2206.77</v>
      </c>
      <c r="F236" t="s">
        <v>814</v>
      </c>
      <c r="G236" t="s">
        <v>816</v>
      </c>
      <c r="H236" s="5" t="s">
        <v>825</v>
      </c>
      <c r="I236" s="7">
        <f t="shared" si="3"/>
        <v>761</v>
      </c>
      <c r="J236" s="13" t="str" cm="1">
        <f t="array" ref="J236">_xlfn.IFS(I236=0, "Settled", I236&lt;=30, "1-30", I236&lt;=90, "31-90", I236&lt;=365, "91-365", I236&gt;365, "1 Year+")</f>
        <v>1 Year+</v>
      </c>
      <c r="K236" t="s">
        <v>819</v>
      </c>
      <c r="L236" s="3" cm="1">
        <f t="array" ref="L236">_xlfn.IFS(F236="AUD",E236*$V$2,F236="CAD",E236*$V$3,F236="EUR",E236*$V$4,F236="GBP",E236*$V$5,F236="USD",E236*$V$6)</f>
        <v>2206.77</v>
      </c>
      <c r="M236" s="3" cm="1">
        <f t="array" ref="M236">_xlfn.IFS(G236="Paid", L236, G236="Partial", L236*0.5, G236="Open", 0)</f>
        <v>0</v>
      </c>
      <c r="N236" s="3" cm="1">
        <f t="array" ref="N236">_xlfn.IFS(G236="Open", L236, G236="Partial", L236*0.5, G236="Paid", 0)</f>
        <v>2206.77</v>
      </c>
    </row>
    <row r="237" spans="1:14" x14ac:dyDescent="0.25">
      <c r="A237" t="s">
        <v>241</v>
      </c>
      <c r="B237" t="s">
        <v>806</v>
      </c>
      <c r="C237" s="5">
        <v>45269</v>
      </c>
      <c r="D237" s="5">
        <v>45299</v>
      </c>
      <c r="E237" s="3">
        <v>1191.52</v>
      </c>
      <c r="F237" t="s">
        <v>814</v>
      </c>
      <c r="G237" t="s">
        <v>818</v>
      </c>
      <c r="H237" s="5">
        <v>45299</v>
      </c>
      <c r="I237" s="7">
        <f t="shared" si="3"/>
        <v>0</v>
      </c>
      <c r="J237" s="13" t="str" cm="1">
        <f t="array" ref="J237">_xlfn.IFS(I237=0, "Settled", I237&lt;=30, "1-30", I237&lt;=90, "31-90", I237&lt;=365, "91-365", I237&gt;365, "1 Year+")</f>
        <v>Settled</v>
      </c>
      <c r="K237" t="s">
        <v>819</v>
      </c>
      <c r="L237" s="3" cm="1">
        <f t="array" ref="L237">_xlfn.IFS(F237="AUD",E237*$V$2,F237="CAD",E237*$V$3,F237="EUR",E237*$V$4,F237="GBP",E237*$V$5,F237="USD",E237*$V$6)</f>
        <v>1191.52</v>
      </c>
      <c r="M237" s="3" cm="1">
        <f t="array" ref="M237">_xlfn.IFS(G237="Paid", L237, G237="Partial", L237*0.5, G237="Open", 0)</f>
        <v>1191.52</v>
      </c>
      <c r="N237" s="3" cm="1">
        <f t="array" ref="N237">_xlfn.IFS(G237="Open", L237, G237="Partial", L237*0.5, G237="Paid", 0)</f>
        <v>0</v>
      </c>
    </row>
    <row r="238" spans="1:14" x14ac:dyDescent="0.25">
      <c r="A238" t="s">
        <v>242</v>
      </c>
      <c r="B238" t="s">
        <v>806</v>
      </c>
      <c r="C238" s="5">
        <v>44938</v>
      </c>
      <c r="D238" s="5">
        <v>44968</v>
      </c>
      <c r="E238" s="3">
        <v>1715.9</v>
      </c>
      <c r="F238" t="s">
        <v>812</v>
      </c>
      <c r="G238" t="s">
        <v>817</v>
      </c>
      <c r="H238" s="5" t="s">
        <v>825</v>
      </c>
      <c r="I238" s="7">
        <f t="shared" si="3"/>
        <v>1138</v>
      </c>
      <c r="J238" s="13" t="str" cm="1">
        <f t="array" ref="J238">_xlfn.IFS(I238=0, "Settled", I238&lt;=30, "1-30", I238&lt;=90, "31-90", I238&lt;=365, "91-365", I238&gt;365, "1 Year+")</f>
        <v>1 Year+</v>
      </c>
      <c r="K238" t="s">
        <v>819</v>
      </c>
      <c r="L238" s="3" cm="1">
        <f t="array" ref="L238">_xlfn.IFS(F238="AUD",E238*$V$2,F238="CAD",E238*$V$3,F238="EUR",E238*$V$4,F238="GBP",E238*$V$5,F238="USD",E238*$V$6)</f>
        <v>2367.942</v>
      </c>
      <c r="M238" s="3" cm="1">
        <f t="array" ref="M238">_xlfn.IFS(G238="Paid", L238, G238="Partial", L238*0.5, G238="Open", 0)</f>
        <v>1183.971</v>
      </c>
      <c r="N238" s="3" cm="1">
        <f t="array" ref="N238">_xlfn.IFS(G238="Open", L238, G238="Partial", L238*0.5, G238="Paid", 0)</f>
        <v>1183.971</v>
      </c>
    </row>
    <row r="239" spans="1:14" x14ac:dyDescent="0.25">
      <c r="A239" t="s">
        <v>243</v>
      </c>
      <c r="B239" t="s">
        <v>807</v>
      </c>
      <c r="C239" s="5">
        <v>44956</v>
      </c>
      <c r="D239" s="5">
        <v>44986</v>
      </c>
      <c r="E239" s="3">
        <v>2281.3000000000002</v>
      </c>
      <c r="F239" t="s">
        <v>813</v>
      </c>
      <c r="G239" t="s">
        <v>818</v>
      </c>
      <c r="H239" s="5">
        <v>44986</v>
      </c>
      <c r="I239" s="7">
        <f t="shared" si="3"/>
        <v>0</v>
      </c>
      <c r="J239" s="13" t="str" cm="1">
        <f t="array" ref="J239">_xlfn.IFS(I239=0, "Settled", I239&lt;=30, "1-30", I239&lt;=90, "31-90", I239&lt;=365, "91-365", I239&gt;365, "1 Year+")</f>
        <v>Settled</v>
      </c>
      <c r="K239" t="s">
        <v>819</v>
      </c>
      <c r="L239" s="3" cm="1">
        <f t="array" ref="L239">_xlfn.IFS(F239="AUD",E239*$V$2,F239="CAD",E239*$V$3,F239="EUR",E239*$V$4,F239="GBP",E239*$V$5,F239="USD",E239*$V$6)</f>
        <v>1710.9750000000001</v>
      </c>
      <c r="M239" s="3" cm="1">
        <f t="array" ref="M239">_xlfn.IFS(G239="Paid", L239, G239="Partial", L239*0.5, G239="Open", 0)</f>
        <v>1710.9750000000001</v>
      </c>
      <c r="N239" s="3" cm="1">
        <f t="array" ref="N239">_xlfn.IFS(G239="Open", L239, G239="Partial", L239*0.5, G239="Paid", 0)</f>
        <v>0</v>
      </c>
    </row>
    <row r="240" spans="1:14" x14ac:dyDescent="0.25">
      <c r="A240" t="s">
        <v>244</v>
      </c>
      <c r="B240" t="s">
        <v>808</v>
      </c>
      <c r="C240" s="5">
        <v>45362</v>
      </c>
      <c r="D240" s="5">
        <v>45392</v>
      </c>
      <c r="E240" s="3">
        <v>3825.33</v>
      </c>
      <c r="F240" t="s">
        <v>813</v>
      </c>
      <c r="G240" t="s">
        <v>816</v>
      </c>
      <c r="H240" s="5" t="s">
        <v>825</v>
      </c>
      <c r="I240" s="7">
        <f t="shared" si="3"/>
        <v>714</v>
      </c>
      <c r="J240" s="13" t="str" cm="1">
        <f t="array" ref="J240">_xlfn.IFS(I240=0, "Settled", I240&lt;=30, "1-30", I240&lt;=90, "31-90", I240&lt;=365, "91-365", I240&gt;365, "1 Year+")</f>
        <v>1 Year+</v>
      </c>
      <c r="K240" t="s">
        <v>819</v>
      </c>
      <c r="L240" s="3" cm="1">
        <f t="array" ref="L240">_xlfn.IFS(F240="AUD",E240*$V$2,F240="CAD",E240*$V$3,F240="EUR",E240*$V$4,F240="GBP",E240*$V$5,F240="USD",E240*$V$6)</f>
        <v>2868.9974999999999</v>
      </c>
      <c r="M240" s="3" cm="1">
        <f t="array" ref="M240">_xlfn.IFS(G240="Paid", L240, G240="Partial", L240*0.5, G240="Open", 0)</f>
        <v>0</v>
      </c>
      <c r="N240" s="3" cm="1">
        <f t="array" ref="N240">_xlfn.IFS(G240="Open", L240, G240="Partial", L240*0.5, G240="Paid", 0)</f>
        <v>2868.9974999999999</v>
      </c>
    </row>
    <row r="241" spans="1:14" x14ac:dyDescent="0.25">
      <c r="A241" t="s">
        <v>245</v>
      </c>
      <c r="B241" t="s">
        <v>808</v>
      </c>
      <c r="C241" s="5">
        <v>45008</v>
      </c>
      <c r="D241" s="5">
        <v>45038</v>
      </c>
      <c r="E241" s="3">
        <v>4771.6000000000004</v>
      </c>
      <c r="F241" t="s">
        <v>815</v>
      </c>
      <c r="G241" t="s">
        <v>817</v>
      </c>
      <c r="H241" s="5" t="s">
        <v>825</v>
      </c>
      <c r="I241" s="7">
        <f t="shared" si="3"/>
        <v>1068</v>
      </c>
      <c r="J241" s="13" t="str" cm="1">
        <f t="array" ref="J241">_xlfn.IFS(I241=0, "Settled", I241&lt;=30, "1-30", I241&lt;=90, "31-90", I241&lt;=365, "91-365", I241&gt;365, "1 Year+")</f>
        <v>1 Year+</v>
      </c>
      <c r="K241" t="s">
        <v>819</v>
      </c>
      <c r="L241" s="3" cm="1">
        <f t="array" ref="L241">_xlfn.IFS(F241="AUD",E241*$V$2,F241="CAD",E241*$V$3,F241="EUR",E241*$V$4,F241="GBP",E241*$V$5,F241="USD",E241*$V$6)</f>
        <v>6918.8200000000006</v>
      </c>
      <c r="M241" s="3" cm="1">
        <f t="array" ref="M241">_xlfn.IFS(G241="Paid", L241, G241="Partial", L241*0.5, G241="Open", 0)</f>
        <v>3459.4100000000003</v>
      </c>
      <c r="N241" s="3" cm="1">
        <f t="array" ref="N241">_xlfn.IFS(G241="Open", L241, G241="Partial", L241*0.5, G241="Paid", 0)</f>
        <v>3459.4100000000003</v>
      </c>
    </row>
    <row r="242" spans="1:14" x14ac:dyDescent="0.25">
      <c r="A242" t="s">
        <v>246</v>
      </c>
      <c r="B242" t="s">
        <v>808</v>
      </c>
      <c r="C242" s="5">
        <v>45474</v>
      </c>
      <c r="D242" s="5">
        <v>45504</v>
      </c>
      <c r="E242" s="3">
        <v>3536.61</v>
      </c>
      <c r="F242" t="s">
        <v>814</v>
      </c>
      <c r="G242" t="s">
        <v>817</v>
      </c>
      <c r="H242" s="5" t="s">
        <v>825</v>
      </c>
      <c r="I242" s="7">
        <f t="shared" si="3"/>
        <v>602</v>
      </c>
      <c r="J242" s="13" t="str" cm="1">
        <f t="array" ref="J242">_xlfn.IFS(I242=0, "Settled", I242&lt;=30, "1-30", I242&lt;=90, "31-90", I242&lt;=365, "91-365", I242&gt;365, "1 Year+")</f>
        <v>1 Year+</v>
      </c>
      <c r="K242" t="s">
        <v>819</v>
      </c>
      <c r="L242" s="3" cm="1">
        <f t="array" ref="L242">_xlfn.IFS(F242="AUD",E242*$V$2,F242="CAD",E242*$V$3,F242="EUR",E242*$V$4,F242="GBP",E242*$V$5,F242="USD",E242*$V$6)</f>
        <v>3536.61</v>
      </c>
      <c r="M242" s="3" cm="1">
        <f t="array" ref="M242">_xlfn.IFS(G242="Paid", L242, G242="Partial", L242*0.5, G242="Open", 0)</f>
        <v>1768.3050000000001</v>
      </c>
      <c r="N242" s="3" cm="1">
        <f t="array" ref="N242">_xlfn.IFS(G242="Open", L242, G242="Partial", L242*0.5, G242="Paid", 0)</f>
        <v>1768.3050000000001</v>
      </c>
    </row>
    <row r="243" spans="1:14" x14ac:dyDescent="0.25">
      <c r="A243" t="s">
        <v>247</v>
      </c>
      <c r="B243" t="s">
        <v>810</v>
      </c>
      <c r="C243" s="5">
        <v>45087</v>
      </c>
      <c r="D243" s="5">
        <v>45117</v>
      </c>
      <c r="E243" s="3">
        <v>4873.4799999999996</v>
      </c>
      <c r="F243" t="s">
        <v>811</v>
      </c>
      <c r="G243" t="s">
        <v>818</v>
      </c>
      <c r="H243" s="5">
        <v>45117</v>
      </c>
      <c r="I243" s="7">
        <f t="shared" si="3"/>
        <v>0</v>
      </c>
      <c r="J243" s="13" t="str" cm="1">
        <f t="array" ref="J243">_xlfn.IFS(I243=0, "Settled", I243&lt;=30, "1-30", I243&lt;=90, "31-90", I243&lt;=365, "91-365", I243&gt;365, "1 Year+")</f>
        <v>Settled</v>
      </c>
      <c r="K243" t="s">
        <v>819</v>
      </c>
      <c r="L243" s="3" cm="1">
        <f t="array" ref="L243">_xlfn.IFS(F243="AUD",E243*$V$2,F243="CAD",E243*$V$3,F243="EUR",E243*$V$4,F243="GBP",E243*$V$5,F243="USD",E243*$V$6)</f>
        <v>4191.1927999999998</v>
      </c>
      <c r="M243" s="3" cm="1">
        <f t="array" ref="M243">_xlfn.IFS(G243="Paid", L243, G243="Partial", L243*0.5, G243="Open", 0)</f>
        <v>4191.1927999999998</v>
      </c>
      <c r="N243" s="3" cm="1">
        <f t="array" ref="N243">_xlfn.IFS(G243="Open", L243, G243="Partial", L243*0.5, G243="Paid", 0)</f>
        <v>0</v>
      </c>
    </row>
    <row r="244" spans="1:14" x14ac:dyDescent="0.25">
      <c r="A244" t="s">
        <v>248</v>
      </c>
      <c r="B244" t="s">
        <v>806</v>
      </c>
      <c r="C244" s="5">
        <v>45618</v>
      </c>
      <c r="D244" s="5">
        <v>45648</v>
      </c>
      <c r="E244" s="3">
        <v>3763.83</v>
      </c>
      <c r="F244" t="s">
        <v>815</v>
      </c>
      <c r="G244" t="s">
        <v>817</v>
      </c>
      <c r="H244" s="5" t="s">
        <v>825</v>
      </c>
      <c r="I244" s="7">
        <f t="shared" si="3"/>
        <v>458</v>
      </c>
      <c r="J244" s="13" t="str" cm="1">
        <f t="array" ref="J244">_xlfn.IFS(I244=0, "Settled", I244&lt;=30, "1-30", I244&lt;=90, "31-90", I244&lt;=365, "91-365", I244&gt;365, "1 Year+")</f>
        <v>1 Year+</v>
      </c>
      <c r="K244" t="s">
        <v>819</v>
      </c>
      <c r="L244" s="3" cm="1">
        <f t="array" ref="L244">_xlfn.IFS(F244="AUD",E244*$V$2,F244="CAD",E244*$V$3,F244="EUR",E244*$V$4,F244="GBP",E244*$V$5,F244="USD",E244*$V$6)</f>
        <v>5457.5535</v>
      </c>
      <c r="M244" s="3" cm="1">
        <f t="array" ref="M244">_xlfn.IFS(G244="Paid", L244, G244="Partial", L244*0.5, G244="Open", 0)</f>
        <v>2728.77675</v>
      </c>
      <c r="N244" s="3" cm="1">
        <f t="array" ref="N244">_xlfn.IFS(G244="Open", L244, G244="Partial", L244*0.5, G244="Paid", 0)</f>
        <v>2728.77675</v>
      </c>
    </row>
    <row r="245" spans="1:14" x14ac:dyDescent="0.25">
      <c r="A245" t="s">
        <v>249</v>
      </c>
      <c r="B245" t="s">
        <v>806</v>
      </c>
      <c r="C245" s="5">
        <v>45045</v>
      </c>
      <c r="D245" s="5">
        <v>45075</v>
      </c>
      <c r="E245" s="3">
        <v>1956.76</v>
      </c>
      <c r="F245" t="s">
        <v>812</v>
      </c>
      <c r="G245" t="s">
        <v>817</v>
      </c>
      <c r="H245" s="5" t="s">
        <v>825</v>
      </c>
      <c r="I245" s="7">
        <f t="shared" si="3"/>
        <v>1031</v>
      </c>
      <c r="J245" s="13" t="str" cm="1">
        <f t="array" ref="J245">_xlfn.IFS(I245=0, "Settled", I245&lt;=30, "1-30", I245&lt;=90, "31-90", I245&lt;=365, "91-365", I245&gt;365, "1 Year+")</f>
        <v>1 Year+</v>
      </c>
      <c r="K245" t="s">
        <v>819</v>
      </c>
      <c r="L245" s="3" cm="1">
        <f t="array" ref="L245">_xlfn.IFS(F245="AUD",E245*$V$2,F245="CAD",E245*$V$3,F245="EUR",E245*$V$4,F245="GBP",E245*$V$5,F245="USD",E245*$V$6)</f>
        <v>2700.3287999999998</v>
      </c>
      <c r="M245" s="3" cm="1">
        <f t="array" ref="M245">_xlfn.IFS(G245="Paid", L245, G245="Partial", L245*0.5, G245="Open", 0)</f>
        <v>1350.1643999999999</v>
      </c>
      <c r="N245" s="3" cm="1">
        <f t="array" ref="N245">_xlfn.IFS(G245="Open", L245, G245="Partial", L245*0.5, G245="Paid", 0)</f>
        <v>1350.1643999999999</v>
      </c>
    </row>
    <row r="246" spans="1:14" x14ac:dyDescent="0.25">
      <c r="A246" t="s">
        <v>250</v>
      </c>
      <c r="B246" t="s">
        <v>806</v>
      </c>
      <c r="C246" s="5">
        <v>45396</v>
      </c>
      <c r="D246" s="5">
        <v>45426</v>
      </c>
      <c r="E246" s="3">
        <v>4541.03</v>
      </c>
      <c r="F246" t="s">
        <v>815</v>
      </c>
      <c r="G246" t="s">
        <v>817</v>
      </c>
      <c r="H246" s="5" t="s">
        <v>825</v>
      </c>
      <c r="I246" s="7">
        <f t="shared" si="3"/>
        <v>680</v>
      </c>
      <c r="J246" s="13" t="str" cm="1">
        <f t="array" ref="J246">_xlfn.IFS(I246=0, "Settled", I246&lt;=30, "1-30", I246&lt;=90, "31-90", I246&lt;=365, "91-365", I246&gt;365, "1 Year+")</f>
        <v>1 Year+</v>
      </c>
      <c r="K246" t="s">
        <v>819</v>
      </c>
      <c r="L246" s="3" cm="1">
        <f t="array" ref="L246">_xlfn.IFS(F246="AUD",E246*$V$2,F246="CAD",E246*$V$3,F246="EUR",E246*$V$4,F246="GBP",E246*$V$5,F246="USD",E246*$V$6)</f>
        <v>6584.4934999999996</v>
      </c>
      <c r="M246" s="3" cm="1">
        <f t="array" ref="M246">_xlfn.IFS(G246="Paid", L246, G246="Partial", L246*0.5, G246="Open", 0)</f>
        <v>3292.2467499999998</v>
      </c>
      <c r="N246" s="3" cm="1">
        <f t="array" ref="N246">_xlfn.IFS(G246="Open", L246, G246="Partial", L246*0.5, G246="Paid", 0)</f>
        <v>3292.2467499999998</v>
      </c>
    </row>
    <row r="247" spans="1:14" x14ac:dyDescent="0.25">
      <c r="A247" t="s">
        <v>251</v>
      </c>
      <c r="B247" t="s">
        <v>808</v>
      </c>
      <c r="C247" s="5">
        <v>45203</v>
      </c>
      <c r="D247" s="5">
        <v>45233</v>
      </c>
      <c r="E247" s="3">
        <v>3118.33</v>
      </c>
      <c r="F247" t="s">
        <v>814</v>
      </c>
      <c r="G247" t="s">
        <v>817</v>
      </c>
      <c r="H247" s="5" t="s">
        <v>825</v>
      </c>
      <c r="I247" s="7">
        <f t="shared" si="3"/>
        <v>873</v>
      </c>
      <c r="J247" s="13" t="str" cm="1">
        <f t="array" ref="J247">_xlfn.IFS(I247=0, "Settled", I247&lt;=30, "1-30", I247&lt;=90, "31-90", I247&lt;=365, "91-365", I247&gt;365, "1 Year+")</f>
        <v>1 Year+</v>
      </c>
      <c r="K247" t="s">
        <v>819</v>
      </c>
      <c r="L247" s="3" cm="1">
        <f t="array" ref="L247">_xlfn.IFS(F247="AUD",E247*$V$2,F247="CAD",E247*$V$3,F247="EUR",E247*$V$4,F247="GBP",E247*$V$5,F247="USD",E247*$V$6)</f>
        <v>3118.33</v>
      </c>
      <c r="M247" s="3" cm="1">
        <f t="array" ref="M247">_xlfn.IFS(G247="Paid", L247, G247="Partial", L247*0.5, G247="Open", 0)</f>
        <v>1559.165</v>
      </c>
      <c r="N247" s="3" cm="1">
        <f t="array" ref="N247">_xlfn.IFS(G247="Open", L247, G247="Partial", L247*0.5, G247="Paid", 0)</f>
        <v>1559.165</v>
      </c>
    </row>
    <row r="248" spans="1:14" x14ac:dyDescent="0.25">
      <c r="A248" t="s">
        <v>252</v>
      </c>
      <c r="B248" t="s">
        <v>808</v>
      </c>
      <c r="C248" s="5">
        <v>45503</v>
      </c>
      <c r="D248" s="5">
        <v>45533</v>
      </c>
      <c r="E248" s="3">
        <v>4825.22</v>
      </c>
      <c r="F248" t="s">
        <v>812</v>
      </c>
      <c r="G248" t="s">
        <v>818</v>
      </c>
      <c r="H248" s="5">
        <v>45533</v>
      </c>
      <c r="I248" s="7">
        <f t="shared" si="3"/>
        <v>0</v>
      </c>
      <c r="J248" s="13" t="str" cm="1">
        <f t="array" ref="J248">_xlfn.IFS(I248=0, "Settled", I248&lt;=30, "1-30", I248&lt;=90, "31-90", I248&lt;=365, "91-365", I248&gt;365, "1 Year+")</f>
        <v>Settled</v>
      </c>
      <c r="K248" t="s">
        <v>819</v>
      </c>
      <c r="L248" s="3" cm="1">
        <f t="array" ref="L248">_xlfn.IFS(F248="AUD",E248*$V$2,F248="CAD",E248*$V$3,F248="EUR",E248*$V$4,F248="GBP",E248*$V$5,F248="USD",E248*$V$6)</f>
        <v>6658.8036000000002</v>
      </c>
      <c r="M248" s="3" cm="1">
        <f t="array" ref="M248">_xlfn.IFS(G248="Paid", L248, G248="Partial", L248*0.5, G248="Open", 0)</f>
        <v>6658.8036000000002</v>
      </c>
      <c r="N248" s="3" cm="1">
        <f t="array" ref="N248">_xlfn.IFS(G248="Open", L248, G248="Partial", L248*0.5, G248="Paid", 0)</f>
        <v>0</v>
      </c>
    </row>
    <row r="249" spans="1:14" x14ac:dyDescent="0.25">
      <c r="A249" t="s">
        <v>253</v>
      </c>
      <c r="B249" t="s">
        <v>810</v>
      </c>
      <c r="C249" s="5">
        <v>45712</v>
      </c>
      <c r="D249" s="5">
        <v>45742</v>
      </c>
      <c r="E249" s="3">
        <v>3534.62</v>
      </c>
      <c r="F249" t="s">
        <v>815</v>
      </c>
      <c r="G249" t="s">
        <v>817</v>
      </c>
      <c r="H249" s="5" t="s">
        <v>825</v>
      </c>
      <c r="I249" s="7">
        <f t="shared" si="3"/>
        <v>364</v>
      </c>
      <c r="J249" s="13" t="str" cm="1">
        <f t="array" ref="J249">_xlfn.IFS(I249=0, "Settled", I249&lt;=30, "1-30", I249&lt;=90, "31-90", I249&lt;=365, "91-365", I249&gt;365, "1 Year+")</f>
        <v>91-365</v>
      </c>
      <c r="K249" t="s">
        <v>819</v>
      </c>
      <c r="L249" s="3" cm="1">
        <f t="array" ref="L249">_xlfn.IFS(F249="AUD",E249*$V$2,F249="CAD",E249*$V$3,F249="EUR",E249*$V$4,F249="GBP",E249*$V$5,F249="USD",E249*$V$6)</f>
        <v>5125.1989999999996</v>
      </c>
      <c r="M249" s="3" cm="1">
        <f t="array" ref="M249">_xlfn.IFS(G249="Paid", L249, G249="Partial", L249*0.5, G249="Open", 0)</f>
        <v>2562.5994999999998</v>
      </c>
      <c r="N249" s="3" cm="1">
        <f t="array" ref="N249">_xlfn.IFS(G249="Open", L249, G249="Partial", L249*0.5, G249="Paid", 0)</f>
        <v>2562.5994999999998</v>
      </c>
    </row>
    <row r="250" spans="1:14" x14ac:dyDescent="0.25">
      <c r="A250" t="s">
        <v>254</v>
      </c>
      <c r="B250" t="s">
        <v>808</v>
      </c>
      <c r="C250" s="5">
        <v>45075</v>
      </c>
      <c r="D250" s="5">
        <v>45105</v>
      </c>
      <c r="E250" s="3">
        <v>2784.2</v>
      </c>
      <c r="F250" t="s">
        <v>813</v>
      </c>
      <c r="G250" t="s">
        <v>818</v>
      </c>
      <c r="H250" s="5">
        <v>45105</v>
      </c>
      <c r="I250" s="7">
        <f t="shared" si="3"/>
        <v>0</v>
      </c>
      <c r="J250" s="13" t="str" cm="1">
        <f t="array" ref="J250">_xlfn.IFS(I250=0, "Settled", I250&lt;=30, "1-30", I250&lt;=90, "31-90", I250&lt;=365, "91-365", I250&gt;365, "1 Year+")</f>
        <v>Settled</v>
      </c>
      <c r="K250" t="s">
        <v>819</v>
      </c>
      <c r="L250" s="3" cm="1">
        <f t="array" ref="L250">_xlfn.IFS(F250="AUD",E250*$V$2,F250="CAD",E250*$V$3,F250="EUR",E250*$V$4,F250="GBP",E250*$V$5,F250="USD",E250*$V$6)</f>
        <v>2088.1499999999996</v>
      </c>
      <c r="M250" s="3" cm="1">
        <f t="array" ref="M250">_xlfn.IFS(G250="Paid", L250, G250="Partial", L250*0.5, G250="Open", 0)</f>
        <v>2088.1499999999996</v>
      </c>
      <c r="N250" s="3" cm="1">
        <f t="array" ref="N250">_xlfn.IFS(G250="Open", L250, G250="Partial", L250*0.5, G250="Paid", 0)</f>
        <v>0</v>
      </c>
    </row>
    <row r="251" spans="1:14" x14ac:dyDescent="0.25">
      <c r="A251" t="s">
        <v>255</v>
      </c>
      <c r="B251" t="s">
        <v>807</v>
      </c>
      <c r="C251" s="5">
        <v>45792</v>
      </c>
      <c r="D251" s="5">
        <v>45822</v>
      </c>
      <c r="E251" s="3">
        <v>4703.79</v>
      </c>
      <c r="F251" t="s">
        <v>815</v>
      </c>
      <c r="G251" t="s">
        <v>816</v>
      </c>
      <c r="H251" s="5" t="s">
        <v>825</v>
      </c>
      <c r="I251" s="7">
        <f t="shared" si="3"/>
        <v>284</v>
      </c>
      <c r="J251" s="13" t="str" cm="1">
        <f t="array" ref="J251">_xlfn.IFS(I251=0, "Settled", I251&lt;=30, "1-30", I251&lt;=90, "31-90", I251&lt;=365, "91-365", I251&gt;365, "1 Year+")</f>
        <v>91-365</v>
      </c>
      <c r="K251" t="s">
        <v>819</v>
      </c>
      <c r="L251" s="3" cm="1">
        <f t="array" ref="L251">_xlfn.IFS(F251="AUD",E251*$V$2,F251="CAD",E251*$V$3,F251="EUR",E251*$V$4,F251="GBP",E251*$V$5,F251="USD",E251*$V$6)</f>
        <v>6820.4955</v>
      </c>
      <c r="M251" s="3" cm="1">
        <f t="array" ref="M251">_xlfn.IFS(G251="Paid", L251, G251="Partial", L251*0.5, G251="Open", 0)</f>
        <v>0</v>
      </c>
      <c r="N251" s="3" cm="1">
        <f t="array" ref="N251">_xlfn.IFS(G251="Open", L251, G251="Partial", L251*0.5, G251="Paid", 0)</f>
        <v>6820.4955</v>
      </c>
    </row>
    <row r="252" spans="1:14" x14ac:dyDescent="0.25">
      <c r="A252" t="s">
        <v>256</v>
      </c>
      <c r="B252" t="s">
        <v>810</v>
      </c>
      <c r="C252" s="5">
        <v>45423</v>
      </c>
      <c r="D252" s="5">
        <v>45453</v>
      </c>
      <c r="E252" s="3">
        <v>3586.26</v>
      </c>
      <c r="F252" t="s">
        <v>815</v>
      </c>
      <c r="G252" t="s">
        <v>816</v>
      </c>
      <c r="H252" s="5" t="s">
        <v>825</v>
      </c>
      <c r="I252" s="7">
        <f t="shared" si="3"/>
        <v>653</v>
      </c>
      <c r="J252" s="13" t="str" cm="1">
        <f t="array" ref="J252">_xlfn.IFS(I252=0, "Settled", I252&lt;=30, "1-30", I252&lt;=90, "31-90", I252&lt;=365, "91-365", I252&gt;365, "1 Year+")</f>
        <v>1 Year+</v>
      </c>
      <c r="K252" t="s">
        <v>819</v>
      </c>
      <c r="L252" s="3" cm="1">
        <f t="array" ref="L252">_xlfn.IFS(F252="AUD",E252*$V$2,F252="CAD",E252*$V$3,F252="EUR",E252*$V$4,F252="GBP",E252*$V$5,F252="USD",E252*$V$6)</f>
        <v>5200.0770000000002</v>
      </c>
      <c r="M252" s="3" cm="1">
        <f t="array" ref="M252">_xlfn.IFS(G252="Paid", L252, G252="Partial", L252*0.5, G252="Open", 0)</f>
        <v>0</v>
      </c>
      <c r="N252" s="3" cm="1">
        <f t="array" ref="N252">_xlfn.IFS(G252="Open", L252, G252="Partial", L252*0.5, G252="Paid", 0)</f>
        <v>5200.0770000000002</v>
      </c>
    </row>
    <row r="253" spans="1:14" x14ac:dyDescent="0.25">
      <c r="A253" t="s">
        <v>257</v>
      </c>
      <c r="B253" t="s">
        <v>806</v>
      </c>
      <c r="C253" s="5">
        <v>45373</v>
      </c>
      <c r="D253" s="5">
        <v>45403</v>
      </c>
      <c r="E253" s="3">
        <v>2609.4499999999998</v>
      </c>
      <c r="F253" t="s">
        <v>814</v>
      </c>
      <c r="G253" t="s">
        <v>818</v>
      </c>
      <c r="H253" s="5">
        <v>45403</v>
      </c>
      <c r="I253" s="7">
        <f t="shared" si="3"/>
        <v>0</v>
      </c>
      <c r="J253" s="13" t="str" cm="1">
        <f t="array" ref="J253">_xlfn.IFS(I253=0, "Settled", I253&lt;=30, "1-30", I253&lt;=90, "31-90", I253&lt;=365, "91-365", I253&gt;365, "1 Year+")</f>
        <v>Settled</v>
      </c>
      <c r="K253" t="s">
        <v>819</v>
      </c>
      <c r="L253" s="3" cm="1">
        <f t="array" ref="L253">_xlfn.IFS(F253="AUD",E253*$V$2,F253="CAD",E253*$V$3,F253="EUR",E253*$V$4,F253="GBP",E253*$V$5,F253="USD",E253*$V$6)</f>
        <v>2609.4499999999998</v>
      </c>
      <c r="M253" s="3" cm="1">
        <f t="array" ref="M253">_xlfn.IFS(G253="Paid", L253, G253="Partial", L253*0.5, G253="Open", 0)</f>
        <v>2609.4499999999998</v>
      </c>
      <c r="N253" s="3" cm="1">
        <f t="array" ref="N253">_xlfn.IFS(G253="Open", L253, G253="Partial", L253*0.5, G253="Paid", 0)</f>
        <v>0</v>
      </c>
    </row>
    <row r="254" spans="1:14" x14ac:dyDescent="0.25">
      <c r="A254" t="s">
        <v>258</v>
      </c>
      <c r="B254" t="s">
        <v>806</v>
      </c>
      <c r="C254" s="5">
        <v>44999</v>
      </c>
      <c r="D254" s="5">
        <v>45029</v>
      </c>
      <c r="E254" s="3">
        <v>527.17999999999995</v>
      </c>
      <c r="F254" t="s">
        <v>813</v>
      </c>
      <c r="G254" t="s">
        <v>818</v>
      </c>
      <c r="H254" s="5">
        <v>45029</v>
      </c>
      <c r="I254" s="7">
        <f t="shared" si="3"/>
        <v>0</v>
      </c>
      <c r="J254" s="13" t="str" cm="1">
        <f t="array" ref="J254">_xlfn.IFS(I254=0, "Settled", I254&lt;=30, "1-30", I254&lt;=90, "31-90", I254&lt;=365, "91-365", I254&gt;365, "1 Year+")</f>
        <v>Settled</v>
      </c>
      <c r="K254" t="s">
        <v>819</v>
      </c>
      <c r="L254" s="3" cm="1">
        <f t="array" ref="L254">_xlfn.IFS(F254="AUD",E254*$V$2,F254="CAD",E254*$V$3,F254="EUR",E254*$V$4,F254="GBP",E254*$V$5,F254="USD",E254*$V$6)</f>
        <v>395.38499999999999</v>
      </c>
      <c r="M254" s="3" cm="1">
        <f t="array" ref="M254">_xlfn.IFS(G254="Paid", L254, G254="Partial", L254*0.5, G254="Open", 0)</f>
        <v>395.38499999999999</v>
      </c>
      <c r="N254" s="3" cm="1">
        <f t="array" ref="N254">_xlfn.IFS(G254="Open", L254, G254="Partial", L254*0.5, G254="Paid", 0)</f>
        <v>0</v>
      </c>
    </row>
    <row r="255" spans="1:14" x14ac:dyDescent="0.25">
      <c r="A255" t="s">
        <v>259</v>
      </c>
      <c r="B255" t="s">
        <v>809</v>
      </c>
      <c r="C255" s="5">
        <v>45086</v>
      </c>
      <c r="D255" s="5">
        <v>45116</v>
      </c>
      <c r="E255" s="3">
        <v>3705.03</v>
      </c>
      <c r="F255" t="s">
        <v>815</v>
      </c>
      <c r="G255" t="s">
        <v>817</v>
      </c>
      <c r="H255" s="5" t="s">
        <v>825</v>
      </c>
      <c r="I255" s="7">
        <f t="shared" si="3"/>
        <v>990</v>
      </c>
      <c r="J255" s="13" t="str" cm="1">
        <f t="array" ref="J255">_xlfn.IFS(I255=0, "Settled", I255&lt;=30, "1-30", I255&lt;=90, "31-90", I255&lt;=365, "91-365", I255&gt;365, "1 Year+")</f>
        <v>1 Year+</v>
      </c>
      <c r="K255" t="s">
        <v>819</v>
      </c>
      <c r="L255" s="3" cm="1">
        <f t="array" ref="L255">_xlfn.IFS(F255="AUD",E255*$V$2,F255="CAD",E255*$V$3,F255="EUR",E255*$V$4,F255="GBP",E255*$V$5,F255="USD",E255*$V$6)</f>
        <v>5372.2934999999998</v>
      </c>
      <c r="M255" s="3" cm="1">
        <f t="array" ref="M255">_xlfn.IFS(G255="Paid", L255, G255="Partial", L255*0.5, G255="Open", 0)</f>
        <v>2686.1467499999999</v>
      </c>
      <c r="N255" s="3" cm="1">
        <f t="array" ref="N255">_xlfn.IFS(G255="Open", L255, G255="Partial", L255*0.5, G255="Paid", 0)</f>
        <v>2686.1467499999999</v>
      </c>
    </row>
    <row r="256" spans="1:14" x14ac:dyDescent="0.25">
      <c r="A256" t="s">
        <v>260</v>
      </c>
      <c r="B256" t="s">
        <v>806</v>
      </c>
      <c r="C256" s="5">
        <v>45440</v>
      </c>
      <c r="D256" s="5">
        <v>45470</v>
      </c>
      <c r="E256" s="3">
        <v>1274.56</v>
      </c>
      <c r="F256" t="s">
        <v>815</v>
      </c>
      <c r="G256" t="s">
        <v>816</v>
      </c>
      <c r="H256" s="5" t="s">
        <v>825</v>
      </c>
      <c r="I256" s="7">
        <f t="shared" si="3"/>
        <v>636</v>
      </c>
      <c r="J256" s="13" t="str" cm="1">
        <f t="array" ref="J256">_xlfn.IFS(I256=0, "Settled", I256&lt;=30, "1-30", I256&lt;=90, "31-90", I256&lt;=365, "91-365", I256&gt;365, "1 Year+")</f>
        <v>1 Year+</v>
      </c>
      <c r="K256" t="s">
        <v>819</v>
      </c>
      <c r="L256" s="3" cm="1">
        <f t="array" ref="L256">_xlfn.IFS(F256="AUD",E256*$V$2,F256="CAD",E256*$V$3,F256="EUR",E256*$V$4,F256="GBP",E256*$V$5,F256="USD",E256*$V$6)</f>
        <v>1848.1119999999999</v>
      </c>
      <c r="M256" s="3" cm="1">
        <f t="array" ref="M256">_xlfn.IFS(G256="Paid", L256, G256="Partial", L256*0.5, G256="Open", 0)</f>
        <v>0</v>
      </c>
      <c r="N256" s="3" cm="1">
        <f t="array" ref="N256">_xlfn.IFS(G256="Open", L256, G256="Partial", L256*0.5, G256="Paid", 0)</f>
        <v>1848.1119999999999</v>
      </c>
    </row>
    <row r="257" spans="1:14" x14ac:dyDescent="0.25">
      <c r="A257" t="s">
        <v>261</v>
      </c>
      <c r="B257" t="s">
        <v>807</v>
      </c>
      <c r="C257" s="5">
        <v>45815</v>
      </c>
      <c r="D257" s="5">
        <v>45845</v>
      </c>
      <c r="E257" s="3">
        <v>928.12</v>
      </c>
      <c r="F257" t="s">
        <v>811</v>
      </c>
      <c r="G257" t="s">
        <v>818</v>
      </c>
      <c r="H257" s="5">
        <v>45845</v>
      </c>
      <c r="I257" s="7">
        <f t="shared" si="3"/>
        <v>0</v>
      </c>
      <c r="J257" s="13" t="str" cm="1">
        <f t="array" ref="J257">_xlfn.IFS(I257=0, "Settled", I257&lt;=30, "1-30", I257&lt;=90, "31-90", I257&lt;=365, "91-365", I257&gt;365, "1 Year+")</f>
        <v>Settled</v>
      </c>
      <c r="K257" t="s">
        <v>819</v>
      </c>
      <c r="L257" s="3" cm="1">
        <f t="array" ref="L257">_xlfn.IFS(F257="AUD",E257*$V$2,F257="CAD",E257*$V$3,F257="EUR",E257*$V$4,F257="GBP",E257*$V$5,F257="USD",E257*$V$6)</f>
        <v>798.18319999999994</v>
      </c>
      <c r="M257" s="3" cm="1">
        <f t="array" ref="M257">_xlfn.IFS(G257="Paid", L257, G257="Partial", L257*0.5, G257="Open", 0)</f>
        <v>798.18319999999994</v>
      </c>
      <c r="N257" s="3" cm="1">
        <f t="array" ref="N257">_xlfn.IFS(G257="Open", L257, G257="Partial", L257*0.5, G257="Paid", 0)</f>
        <v>0</v>
      </c>
    </row>
    <row r="258" spans="1:14" x14ac:dyDescent="0.25">
      <c r="A258" t="s">
        <v>262</v>
      </c>
      <c r="B258" t="s">
        <v>810</v>
      </c>
      <c r="C258" s="5">
        <v>45695</v>
      </c>
      <c r="D258" s="5">
        <v>45725</v>
      </c>
      <c r="E258" s="3">
        <v>3380.41</v>
      </c>
      <c r="F258" t="s">
        <v>813</v>
      </c>
      <c r="G258" t="s">
        <v>817</v>
      </c>
      <c r="H258" s="5" t="s">
        <v>825</v>
      </c>
      <c r="I258" s="7">
        <f t="shared" si="3"/>
        <v>381</v>
      </c>
      <c r="J258" s="13" t="str" cm="1">
        <f t="array" ref="J258">_xlfn.IFS(I258=0, "Settled", I258&lt;=30, "1-30", I258&lt;=90, "31-90", I258&lt;=365, "91-365", I258&gt;365, "1 Year+")</f>
        <v>1 Year+</v>
      </c>
      <c r="K258" t="s">
        <v>819</v>
      </c>
      <c r="L258" s="3" cm="1">
        <f t="array" ref="L258">_xlfn.IFS(F258="AUD",E258*$V$2,F258="CAD",E258*$V$3,F258="EUR",E258*$V$4,F258="GBP",E258*$V$5,F258="USD",E258*$V$6)</f>
        <v>2535.3074999999999</v>
      </c>
      <c r="M258" s="3" cm="1">
        <f t="array" ref="M258">_xlfn.IFS(G258="Paid", L258, G258="Partial", L258*0.5, G258="Open", 0)</f>
        <v>1267.6537499999999</v>
      </c>
      <c r="N258" s="3" cm="1">
        <f t="array" ref="N258">_xlfn.IFS(G258="Open", L258, G258="Partial", L258*0.5, G258="Paid", 0)</f>
        <v>1267.6537499999999</v>
      </c>
    </row>
    <row r="259" spans="1:14" x14ac:dyDescent="0.25">
      <c r="A259" t="s">
        <v>263</v>
      </c>
      <c r="B259" t="s">
        <v>810</v>
      </c>
      <c r="C259" s="5">
        <v>44949</v>
      </c>
      <c r="D259" s="5">
        <v>44979</v>
      </c>
      <c r="E259" s="3">
        <v>489.13</v>
      </c>
      <c r="F259" t="s">
        <v>811</v>
      </c>
      <c r="G259" t="s">
        <v>816</v>
      </c>
      <c r="H259" s="5" t="s">
        <v>825</v>
      </c>
      <c r="I259" s="7">
        <f t="shared" ref="I259:I322" si="4">IF(G259="Paid",0,DATE(2026,3,25)-D259)</f>
        <v>1127</v>
      </c>
      <c r="J259" s="13" t="str" cm="1">
        <f t="array" ref="J259">_xlfn.IFS(I259=0, "Settled", I259&lt;=30, "1-30", I259&lt;=90, "31-90", I259&lt;=365, "91-365", I259&gt;365, "1 Year+")</f>
        <v>1 Year+</v>
      </c>
      <c r="K259" t="s">
        <v>819</v>
      </c>
      <c r="L259" s="3" cm="1">
        <f t="array" ref="L259">_xlfn.IFS(F259="AUD",E259*$V$2,F259="CAD",E259*$V$3,F259="EUR",E259*$V$4,F259="GBP",E259*$V$5,F259="USD",E259*$V$6)</f>
        <v>420.65179999999998</v>
      </c>
      <c r="M259" s="3" cm="1">
        <f t="array" ref="M259">_xlfn.IFS(G259="Paid", L259, G259="Partial", L259*0.5, G259="Open", 0)</f>
        <v>0</v>
      </c>
      <c r="N259" s="3" cm="1">
        <f t="array" ref="N259">_xlfn.IFS(G259="Open", L259, G259="Partial", L259*0.5, G259="Paid", 0)</f>
        <v>420.65179999999998</v>
      </c>
    </row>
    <row r="260" spans="1:14" x14ac:dyDescent="0.25">
      <c r="A260" t="s">
        <v>264</v>
      </c>
      <c r="B260" t="s">
        <v>807</v>
      </c>
      <c r="C260" s="5">
        <v>45237</v>
      </c>
      <c r="D260" s="5">
        <v>45267</v>
      </c>
      <c r="E260" s="3">
        <v>2309.52</v>
      </c>
      <c r="F260" t="s">
        <v>814</v>
      </c>
      <c r="G260" t="s">
        <v>817</v>
      </c>
      <c r="H260" s="5" t="s">
        <v>825</v>
      </c>
      <c r="I260" s="7">
        <f t="shared" si="4"/>
        <v>839</v>
      </c>
      <c r="J260" s="13" t="str" cm="1">
        <f t="array" ref="J260">_xlfn.IFS(I260=0, "Settled", I260&lt;=30, "1-30", I260&lt;=90, "31-90", I260&lt;=365, "91-365", I260&gt;365, "1 Year+")</f>
        <v>1 Year+</v>
      </c>
      <c r="K260" t="s">
        <v>819</v>
      </c>
      <c r="L260" s="3" cm="1">
        <f t="array" ref="L260">_xlfn.IFS(F260="AUD",E260*$V$2,F260="CAD",E260*$V$3,F260="EUR",E260*$V$4,F260="GBP",E260*$V$5,F260="USD",E260*$V$6)</f>
        <v>2309.52</v>
      </c>
      <c r="M260" s="3" cm="1">
        <f t="array" ref="M260">_xlfn.IFS(G260="Paid", L260, G260="Partial", L260*0.5, G260="Open", 0)</f>
        <v>1154.76</v>
      </c>
      <c r="N260" s="3" cm="1">
        <f t="array" ref="N260">_xlfn.IFS(G260="Open", L260, G260="Partial", L260*0.5, G260="Paid", 0)</f>
        <v>1154.76</v>
      </c>
    </row>
    <row r="261" spans="1:14" x14ac:dyDescent="0.25">
      <c r="A261" t="s">
        <v>265</v>
      </c>
      <c r="B261" t="s">
        <v>806</v>
      </c>
      <c r="C261" s="5">
        <v>45166</v>
      </c>
      <c r="D261" s="5">
        <v>45196</v>
      </c>
      <c r="E261" s="3">
        <v>2555.11</v>
      </c>
      <c r="F261" t="s">
        <v>812</v>
      </c>
      <c r="G261" t="s">
        <v>816</v>
      </c>
      <c r="H261" s="5" t="s">
        <v>825</v>
      </c>
      <c r="I261" s="7">
        <f t="shared" si="4"/>
        <v>910</v>
      </c>
      <c r="J261" s="13" t="str" cm="1">
        <f t="array" ref="J261">_xlfn.IFS(I261=0, "Settled", I261&lt;=30, "1-30", I261&lt;=90, "31-90", I261&lt;=365, "91-365", I261&gt;365, "1 Year+")</f>
        <v>1 Year+</v>
      </c>
      <c r="K261" t="s">
        <v>819</v>
      </c>
      <c r="L261" s="3" cm="1">
        <f t="array" ref="L261">_xlfn.IFS(F261="AUD",E261*$V$2,F261="CAD",E261*$V$3,F261="EUR",E261*$V$4,F261="GBP",E261*$V$5,F261="USD",E261*$V$6)</f>
        <v>3526.0517999999997</v>
      </c>
      <c r="M261" s="3" cm="1">
        <f t="array" ref="M261">_xlfn.IFS(G261="Paid", L261, G261="Partial", L261*0.5, G261="Open", 0)</f>
        <v>0</v>
      </c>
      <c r="N261" s="3" cm="1">
        <f t="array" ref="N261">_xlfn.IFS(G261="Open", L261, G261="Partial", L261*0.5, G261="Paid", 0)</f>
        <v>3526.0517999999997</v>
      </c>
    </row>
    <row r="262" spans="1:14" x14ac:dyDescent="0.25">
      <c r="A262" t="s">
        <v>266</v>
      </c>
      <c r="B262" t="s">
        <v>808</v>
      </c>
      <c r="C262" s="5">
        <v>45373</v>
      </c>
      <c r="D262" s="5">
        <v>45403</v>
      </c>
      <c r="E262" s="3">
        <v>3084.27</v>
      </c>
      <c r="F262" t="s">
        <v>814</v>
      </c>
      <c r="G262" t="s">
        <v>818</v>
      </c>
      <c r="H262" s="5">
        <v>45403</v>
      </c>
      <c r="I262" s="7">
        <f t="shared" si="4"/>
        <v>0</v>
      </c>
      <c r="J262" s="13" t="str" cm="1">
        <f t="array" ref="J262">_xlfn.IFS(I262=0, "Settled", I262&lt;=30, "1-30", I262&lt;=90, "31-90", I262&lt;=365, "91-365", I262&gt;365, "1 Year+")</f>
        <v>Settled</v>
      </c>
      <c r="K262" t="s">
        <v>819</v>
      </c>
      <c r="L262" s="3" cm="1">
        <f t="array" ref="L262">_xlfn.IFS(F262="AUD",E262*$V$2,F262="CAD",E262*$V$3,F262="EUR",E262*$V$4,F262="GBP",E262*$V$5,F262="USD",E262*$V$6)</f>
        <v>3084.27</v>
      </c>
      <c r="M262" s="3" cm="1">
        <f t="array" ref="M262">_xlfn.IFS(G262="Paid", L262, G262="Partial", L262*0.5, G262="Open", 0)</f>
        <v>3084.27</v>
      </c>
      <c r="N262" s="3" cm="1">
        <f t="array" ref="N262">_xlfn.IFS(G262="Open", L262, G262="Partial", L262*0.5, G262="Paid", 0)</f>
        <v>0</v>
      </c>
    </row>
    <row r="263" spans="1:14" x14ac:dyDescent="0.25">
      <c r="A263" t="s">
        <v>267</v>
      </c>
      <c r="B263" t="s">
        <v>806</v>
      </c>
      <c r="C263" s="5">
        <v>45693</v>
      </c>
      <c r="D263" s="5">
        <v>45723</v>
      </c>
      <c r="E263" s="3">
        <v>2226.56</v>
      </c>
      <c r="F263" t="s">
        <v>811</v>
      </c>
      <c r="G263" t="s">
        <v>818</v>
      </c>
      <c r="H263" s="5">
        <v>45723</v>
      </c>
      <c r="I263" s="7">
        <f t="shared" si="4"/>
        <v>0</v>
      </c>
      <c r="J263" s="13" t="str" cm="1">
        <f t="array" ref="J263">_xlfn.IFS(I263=0, "Settled", I263&lt;=30, "1-30", I263&lt;=90, "31-90", I263&lt;=365, "91-365", I263&gt;365, "1 Year+")</f>
        <v>Settled</v>
      </c>
      <c r="K263" t="s">
        <v>819</v>
      </c>
      <c r="L263" s="3" cm="1">
        <f t="array" ref="L263">_xlfn.IFS(F263="AUD",E263*$V$2,F263="CAD",E263*$V$3,F263="EUR",E263*$V$4,F263="GBP",E263*$V$5,F263="USD",E263*$V$6)</f>
        <v>1914.8416</v>
      </c>
      <c r="M263" s="3" cm="1">
        <f t="array" ref="M263">_xlfn.IFS(G263="Paid", L263, G263="Partial", L263*0.5, G263="Open", 0)</f>
        <v>1914.8416</v>
      </c>
      <c r="N263" s="3" cm="1">
        <f t="array" ref="N263">_xlfn.IFS(G263="Open", L263, G263="Partial", L263*0.5, G263="Paid", 0)</f>
        <v>0</v>
      </c>
    </row>
    <row r="264" spans="1:14" x14ac:dyDescent="0.25">
      <c r="A264" t="s">
        <v>268</v>
      </c>
      <c r="B264" t="s">
        <v>809</v>
      </c>
      <c r="C264" s="5">
        <v>45316</v>
      </c>
      <c r="D264" s="5">
        <v>45346</v>
      </c>
      <c r="E264" s="3">
        <v>1081.44</v>
      </c>
      <c r="F264" t="s">
        <v>815</v>
      </c>
      <c r="G264" t="s">
        <v>818</v>
      </c>
      <c r="H264" s="5">
        <v>45346</v>
      </c>
      <c r="I264" s="7">
        <f t="shared" si="4"/>
        <v>0</v>
      </c>
      <c r="J264" s="13" t="str" cm="1">
        <f t="array" ref="J264">_xlfn.IFS(I264=0, "Settled", I264&lt;=30, "1-30", I264&lt;=90, "31-90", I264&lt;=365, "91-365", I264&gt;365, "1 Year+")</f>
        <v>Settled</v>
      </c>
      <c r="K264" t="s">
        <v>819</v>
      </c>
      <c r="L264" s="3" cm="1">
        <f t="array" ref="L264">_xlfn.IFS(F264="AUD",E264*$V$2,F264="CAD",E264*$V$3,F264="EUR",E264*$V$4,F264="GBP",E264*$V$5,F264="USD",E264*$V$6)</f>
        <v>1568.088</v>
      </c>
      <c r="M264" s="3" cm="1">
        <f t="array" ref="M264">_xlfn.IFS(G264="Paid", L264, G264="Partial", L264*0.5, G264="Open", 0)</f>
        <v>1568.088</v>
      </c>
      <c r="N264" s="3" cm="1">
        <f t="array" ref="N264">_xlfn.IFS(G264="Open", L264, G264="Partial", L264*0.5, G264="Paid", 0)</f>
        <v>0</v>
      </c>
    </row>
    <row r="265" spans="1:14" x14ac:dyDescent="0.25">
      <c r="A265" t="s">
        <v>269</v>
      </c>
      <c r="B265" t="s">
        <v>808</v>
      </c>
      <c r="C265" s="5">
        <v>45089</v>
      </c>
      <c r="D265" s="5">
        <v>45119</v>
      </c>
      <c r="E265" s="3">
        <v>985.69</v>
      </c>
      <c r="F265" t="s">
        <v>814</v>
      </c>
      <c r="G265" t="s">
        <v>817</v>
      </c>
      <c r="H265" s="5" t="s">
        <v>825</v>
      </c>
      <c r="I265" s="7">
        <f t="shared" si="4"/>
        <v>987</v>
      </c>
      <c r="J265" s="13" t="str" cm="1">
        <f t="array" ref="J265">_xlfn.IFS(I265=0, "Settled", I265&lt;=30, "1-30", I265&lt;=90, "31-90", I265&lt;=365, "91-365", I265&gt;365, "1 Year+")</f>
        <v>1 Year+</v>
      </c>
      <c r="K265" t="s">
        <v>819</v>
      </c>
      <c r="L265" s="3" cm="1">
        <f t="array" ref="L265">_xlfn.IFS(F265="AUD",E265*$V$2,F265="CAD",E265*$V$3,F265="EUR",E265*$V$4,F265="GBP",E265*$V$5,F265="USD",E265*$V$6)</f>
        <v>985.69</v>
      </c>
      <c r="M265" s="3" cm="1">
        <f t="array" ref="M265">_xlfn.IFS(G265="Paid", L265, G265="Partial", L265*0.5, G265="Open", 0)</f>
        <v>492.84500000000003</v>
      </c>
      <c r="N265" s="3" cm="1">
        <f t="array" ref="N265">_xlfn.IFS(G265="Open", L265, G265="Partial", L265*0.5, G265="Paid", 0)</f>
        <v>492.84500000000003</v>
      </c>
    </row>
    <row r="266" spans="1:14" x14ac:dyDescent="0.25">
      <c r="A266" t="s">
        <v>270</v>
      </c>
      <c r="B266" t="s">
        <v>806</v>
      </c>
      <c r="C266" s="5">
        <v>45792</v>
      </c>
      <c r="D266" s="5">
        <v>45822</v>
      </c>
      <c r="E266" s="3">
        <v>4502.04</v>
      </c>
      <c r="F266" t="s">
        <v>812</v>
      </c>
      <c r="G266" t="s">
        <v>817</v>
      </c>
      <c r="H266" s="5" t="s">
        <v>825</v>
      </c>
      <c r="I266" s="7">
        <f t="shared" si="4"/>
        <v>284</v>
      </c>
      <c r="J266" s="13" t="str" cm="1">
        <f t="array" ref="J266">_xlfn.IFS(I266=0, "Settled", I266&lt;=30, "1-30", I266&lt;=90, "31-90", I266&lt;=365, "91-365", I266&gt;365, "1 Year+")</f>
        <v>91-365</v>
      </c>
      <c r="K266" t="s">
        <v>819</v>
      </c>
      <c r="L266" s="3" cm="1">
        <f t="array" ref="L266">_xlfn.IFS(F266="AUD",E266*$V$2,F266="CAD",E266*$V$3,F266="EUR",E266*$V$4,F266="GBP",E266*$V$5,F266="USD",E266*$V$6)</f>
        <v>6212.8151999999991</v>
      </c>
      <c r="M266" s="3" cm="1">
        <f t="array" ref="M266">_xlfn.IFS(G266="Paid", L266, G266="Partial", L266*0.5, G266="Open", 0)</f>
        <v>3106.4075999999995</v>
      </c>
      <c r="N266" s="3" cm="1">
        <f t="array" ref="N266">_xlfn.IFS(G266="Open", L266, G266="Partial", L266*0.5, G266="Paid", 0)</f>
        <v>3106.4075999999995</v>
      </c>
    </row>
    <row r="267" spans="1:14" x14ac:dyDescent="0.25">
      <c r="A267" t="s">
        <v>271</v>
      </c>
      <c r="B267" t="s">
        <v>810</v>
      </c>
      <c r="C267" s="5">
        <v>45686</v>
      </c>
      <c r="D267" s="5">
        <v>45716</v>
      </c>
      <c r="E267" s="3">
        <v>1415.18</v>
      </c>
      <c r="F267" t="s">
        <v>813</v>
      </c>
      <c r="G267" t="s">
        <v>817</v>
      </c>
      <c r="H267" s="5" t="s">
        <v>825</v>
      </c>
      <c r="I267" s="7">
        <f t="shared" si="4"/>
        <v>390</v>
      </c>
      <c r="J267" s="13" t="str" cm="1">
        <f t="array" ref="J267">_xlfn.IFS(I267=0, "Settled", I267&lt;=30, "1-30", I267&lt;=90, "31-90", I267&lt;=365, "91-365", I267&gt;365, "1 Year+")</f>
        <v>1 Year+</v>
      </c>
      <c r="K267" t="s">
        <v>819</v>
      </c>
      <c r="L267" s="3" cm="1">
        <f t="array" ref="L267">_xlfn.IFS(F267="AUD",E267*$V$2,F267="CAD",E267*$V$3,F267="EUR",E267*$V$4,F267="GBP",E267*$V$5,F267="USD",E267*$V$6)</f>
        <v>1061.385</v>
      </c>
      <c r="M267" s="3" cm="1">
        <f t="array" ref="M267">_xlfn.IFS(G267="Paid", L267, G267="Partial", L267*0.5, G267="Open", 0)</f>
        <v>530.6925</v>
      </c>
      <c r="N267" s="3" cm="1">
        <f t="array" ref="N267">_xlfn.IFS(G267="Open", L267, G267="Partial", L267*0.5, G267="Paid", 0)</f>
        <v>530.6925</v>
      </c>
    </row>
    <row r="268" spans="1:14" x14ac:dyDescent="0.25">
      <c r="A268" t="s">
        <v>272</v>
      </c>
      <c r="B268" t="s">
        <v>809</v>
      </c>
      <c r="C268" s="5">
        <v>45209</v>
      </c>
      <c r="D268" s="5">
        <v>45239</v>
      </c>
      <c r="E268" s="3">
        <v>3176.41</v>
      </c>
      <c r="F268" t="s">
        <v>811</v>
      </c>
      <c r="G268" t="s">
        <v>816</v>
      </c>
      <c r="H268" s="5" t="s">
        <v>825</v>
      </c>
      <c r="I268" s="7">
        <f t="shared" si="4"/>
        <v>867</v>
      </c>
      <c r="J268" s="13" t="str" cm="1">
        <f t="array" ref="J268">_xlfn.IFS(I268=0, "Settled", I268&lt;=30, "1-30", I268&lt;=90, "31-90", I268&lt;=365, "91-365", I268&gt;365, "1 Year+")</f>
        <v>1 Year+</v>
      </c>
      <c r="K268" t="s">
        <v>819</v>
      </c>
      <c r="L268" s="3" cm="1">
        <f t="array" ref="L268">_xlfn.IFS(F268="AUD",E268*$V$2,F268="CAD",E268*$V$3,F268="EUR",E268*$V$4,F268="GBP",E268*$V$5,F268="USD",E268*$V$6)</f>
        <v>2731.7125999999998</v>
      </c>
      <c r="M268" s="3" cm="1">
        <f t="array" ref="M268">_xlfn.IFS(G268="Paid", L268, G268="Partial", L268*0.5, G268="Open", 0)</f>
        <v>0</v>
      </c>
      <c r="N268" s="3" cm="1">
        <f t="array" ref="N268">_xlfn.IFS(G268="Open", L268, G268="Partial", L268*0.5, G268="Paid", 0)</f>
        <v>2731.7125999999998</v>
      </c>
    </row>
    <row r="269" spans="1:14" x14ac:dyDescent="0.25">
      <c r="A269" t="s">
        <v>273</v>
      </c>
      <c r="B269" t="s">
        <v>808</v>
      </c>
      <c r="C269" s="5">
        <v>45094</v>
      </c>
      <c r="D269" s="5">
        <v>45124</v>
      </c>
      <c r="E269" s="3">
        <v>4887.26</v>
      </c>
      <c r="F269" t="s">
        <v>814</v>
      </c>
      <c r="G269" t="s">
        <v>816</v>
      </c>
      <c r="H269" s="5" t="s">
        <v>825</v>
      </c>
      <c r="I269" s="7">
        <f t="shared" si="4"/>
        <v>982</v>
      </c>
      <c r="J269" s="13" t="str" cm="1">
        <f t="array" ref="J269">_xlfn.IFS(I269=0, "Settled", I269&lt;=30, "1-30", I269&lt;=90, "31-90", I269&lt;=365, "91-365", I269&gt;365, "1 Year+")</f>
        <v>1 Year+</v>
      </c>
      <c r="K269" t="s">
        <v>819</v>
      </c>
      <c r="L269" s="3" cm="1">
        <f t="array" ref="L269">_xlfn.IFS(F269="AUD",E269*$V$2,F269="CAD",E269*$V$3,F269="EUR",E269*$V$4,F269="GBP",E269*$V$5,F269="USD",E269*$V$6)</f>
        <v>4887.26</v>
      </c>
      <c r="M269" s="3" cm="1">
        <f t="array" ref="M269">_xlfn.IFS(G269="Paid", L269, G269="Partial", L269*0.5, G269="Open", 0)</f>
        <v>0</v>
      </c>
      <c r="N269" s="3" cm="1">
        <f t="array" ref="N269">_xlfn.IFS(G269="Open", L269, G269="Partial", L269*0.5, G269="Paid", 0)</f>
        <v>4887.26</v>
      </c>
    </row>
    <row r="270" spans="1:14" x14ac:dyDescent="0.25">
      <c r="A270" t="s">
        <v>274</v>
      </c>
      <c r="B270" t="s">
        <v>809</v>
      </c>
      <c r="C270" s="5">
        <v>45545</v>
      </c>
      <c r="D270" s="5">
        <v>45575</v>
      </c>
      <c r="E270" s="3">
        <v>3883.76</v>
      </c>
      <c r="F270" t="s">
        <v>813</v>
      </c>
      <c r="G270" t="s">
        <v>817</v>
      </c>
      <c r="H270" s="5" t="s">
        <v>825</v>
      </c>
      <c r="I270" s="7">
        <f t="shared" si="4"/>
        <v>531</v>
      </c>
      <c r="J270" s="13" t="str" cm="1">
        <f t="array" ref="J270">_xlfn.IFS(I270=0, "Settled", I270&lt;=30, "1-30", I270&lt;=90, "31-90", I270&lt;=365, "91-365", I270&gt;365, "1 Year+")</f>
        <v>1 Year+</v>
      </c>
      <c r="K270" t="s">
        <v>819</v>
      </c>
      <c r="L270" s="3" cm="1">
        <f t="array" ref="L270">_xlfn.IFS(F270="AUD",E270*$V$2,F270="CAD",E270*$V$3,F270="EUR",E270*$V$4,F270="GBP",E270*$V$5,F270="USD",E270*$V$6)</f>
        <v>2912.82</v>
      </c>
      <c r="M270" s="3" cm="1">
        <f t="array" ref="M270">_xlfn.IFS(G270="Paid", L270, G270="Partial", L270*0.5, G270="Open", 0)</f>
        <v>1456.41</v>
      </c>
      <c r="N270" s="3" cm="1">
        <f t="array" ref="N270">_xlfn.IFS(G270="Open", L270, G270="Partial", L270*0.5, G270="Paid", 0)</f>
        <v>1456.41</v>
      </c>
    </row>
    <row r="271" spans="1:14" x14ac:dyDescent="0.25">
      <c r="A271" t="s">
        <v>275</v>
      </c>
      <c r="B271" t="s">
        <v>809</v>
      </c>
      <c r="C271" s="5">
        <v>45820</v>
      </c>
      <c r="D271" s="5">
        <v>45850</v>
      </c>
      <c r="E271" s="3">
        <v>1284.06</v>
      </c>
      <c r="F271" t="s">
        <v>812</v>
      </c>
      <c r="G271" t="s">
        <v>816</v>
      </c>
      <c r="H271" s="5" t="s">
        <v>825</v>
      </c>
      <c r="I271" s="7">
        <f t="shared" si="4"/>
        <v>256</v>
      </c>
      <c r="J271" s="13" t="str" cm="1">
        <f t="array" ref="J271">_xlfn.IFS(I271=0, "Settled", I271&lt;=30, "1-30", I271&lt;=90, "31-90", I271&lt;=365, "91-365", I271&gt;365, "1 Year+")</f>
        <v>91-365</v>
      </c>
      <c r="K271" t="s">
        <v>819</v>
      </c>
      <c r="L271" s="3" cm="1">
        <f t="array" ref="L271">_xlfn.IFS(F271="AUD",E271*$V$2,F271="CAD",E271*$V$3,F271="EUR",E271*$V$4,F271="GBP",E271*$V$5,F271="USD",E271*$V$6)</f>
        <v>1772.0027999999998</v>
      </c>
      <c r="M271" s="3" cm="1">
        <f t="array" ref="M271">_xlfn.IFS(G271="Paid", L271, G271="Partial", L271*0.5, G271="Open", 0)</f>
        <v>0</v>
      </c>
      <c r="N271" s="3" cm="1">
        <f t="array" ref="N271">_xlfn.IFS(G271="Open", L271, G271="Partial", L271*0.5, G271="Paid", 0)</f>
        <v>1772.0027999999998</v>
      </c>
    </row>
    <row r="272" spans="1:14" x14ac:dyDescent="0.25">
      <c r="A272" t="s">
        <v>276</v>
      </c>
      <c r="B272" t="s">
        <v>809</v>
      </c>
      <c r="C272" s="5">
        <v>45834</v>
      </c>
      <c r="D272" s="5">
        <v>45864</v>
      </c>
      <c r="E272" s="3">
        <v>4305.1899999999996</v>
      </c>
      <c r="F272" t="s">
        <v>813</v>
      </c>
      <c r="G272" t="s">
        <v>818</v>
      </c>
      <c r="H272" s="5">
        <v>45864</v>
      </c>
      <c r="I272" s="7">
        <f t="shared" si="4"/>
        <v>0</v>
      </c>
      <c r="J272" s="13" t="str" cm="1">
        <f t="array" ref="J272">_xlfn.IFS(I272=0, "Settled", I272&lt;=30, "1-30", I272&lt;=90, "31-90", I272&lt;=365, "91-365", I272&gt;365, "1 Year+")</f>
        <v>Settled</v>
      </c>
      <c r="K272" t="s">
        <v>819</v>
      </c>
      <c r="L272" s="3" cm="1">
        <f t="array" ref="L272">_xlfn.IFS(F272="AUD",E272*$V$2,F272="CAD",E272*$V$3,F272="EUR",E272*$V$4,F272="GBP",E272*$V$5,F272="USD",E272*$V$6)</f>
        <v>3228.8924999999999</v>
      </c>
      <c r="M272" s="3" cm="1">
        <f t="array" ref="M272">_xlfn.IFS(G272="Paid", L272, G272="Partial", L272*0.5, G272="Open", 0)</f>
        <v>3228.8924999999999</v>
      </c>
      <c r="N272" s="3" cm="1">
        <f t="array" ref="N272">_xlfn.IFS(G272="Open", L272, G272="Partial", L272*0.5, G272="Paid", 0)</f>
        <v>0</v>
      </c>
    </row>
    <row r="273" spans="1:14" x14ac:dyDescent="0.25">
      <c r="A273" t="s">
        <v>277</v>
      </c>
      <c r="B273" t="s">
        <v>809</v>
      </c>
      <c r="C273" s="5">
        <v>45242</v>
      </c>
      <c r="D273" s="5">
        <v>45272</v>
      </c>
      <c r="E273" s="3">
        <v>1810.33</v>
      </c>
      <c r="F273" t="s">
        <v>815</v>
      </c>
      <c r="G273" t="s">
        <v>816</v>
      </c>
      <c r="H273" s="5" t="s">
        <v>825</v>
      </c>
      <c r="I273" s="7">
        <f t="shared" si="4"/>
        <v>834</v>
      </c>
      <c r="J273" s="13" t="str" cm="1">
        <f t="array" ref="J273">_xlfn.IFS(I273=0, "Settled", I273&lt;=30, "1-30", I273&lt;=90, "31-90", I273&lt;=365, "91-365", I273&gt;365, "1 Year+")</f>
        <v>1 Year+</v>
      </c>
      <c r="K273" t="s">
        <v>819</v>
      </c>
      <c r="L273" s="3" cm="1">
        <f t="array" ref="L273">_xlfn.IFS(F273="AUD",E273*$V$2,F273="CAD",E273*$V$3,F273="EUR",E273*$V$4,F273="GBP",E273*$V$5,F273="USD",E273*$V$6)</f>
        <v>2624.9784999999997</v>
      </c>
      <c r="M273" s="3" cm="1">
        <f t="array" ref="M273">_xlfn.IFS(G273="Paid", L273, G273="Partial", L273*0.5, G273="Open", 0)</f>
        <v>0</v>
      </c>
      <c r="N273" s="3" cm="1">
        <f t="array" ref="N273">_xlfn.IFS(G273="Open", L273, G273="Partial", L273*0.5, G273="Paid", 0)</f>
        <v>2624.9784999999997</v>
      </c>
    </row>
    <row r="274" spans="1:14" x14ac:dyDescent="0.25">
      <c r="A274" t="s">
        <v>278</v>
      </c>
      <c r="B274" t="s">
        <v>806</v>
      </c>
      <c r="C274" s="5">
        <v>45373</v>
      </c>
      <c r="D274" s="5">
        <v>45403</v>
      </c>
      <c r="E274" s="3">
        <v>3741.63</v>
      </c>
      <c r="F274" t="s">
        <v>811</v>
      </c>
      <c r="G274" t="s">
        <v>816</v>
      </c>
      <c r="H274" s="5" t="s">
        <v>825</v>
      </c>
      <c r="I274" s="7">
        <f t="shared" si="4"/>
        <v>703</v>
      </c>
      <c r="J274" s="13" t="str" cm="1">
        <f t="array" ref="J274">_xlfn.IFS(I274=0, "Settled", I274&lt;=30, "1-30", I274&lt;=90, "31-90", I274&lt;=365, "91-365", I274&gt;365, "1 Year+")</f>
        <v>1 Year+</v>
      </c>
      <c r="K274" t="s">
        <v>819</v>
      </c>
      <c r="L274" s="3" cm="1">
        <f t="array" ref="L274">_xlfn.IFS(F274="AUD",E274*$V$2,F274="CAD",E274*$V$3,F274="EUR",E274*$V$4,F274="GBP",E274*$V$5,F274="USD",E274*$V$6)</f>
        <v>3217.8018000000002</v>
      </c>
      <c r="M274" s="3" cm="1">
        <f t="array" ref="M274">_xlfn.IFS(G274="Paid", L274, G274="Partial", L274*0.5, G274="Open", 0)</f>
        <v>0</v>
      </c>
      <c r="N274" s="3" cm="1">
        <f t="array" ref="N274">_xlfn.IFS(G274="Open", L274, G274="Partial", L274*0.5, G274="Paid", 0)</f>
        <v>3217.8018000000002</v>
      </c>
    </row>
    <row r="275" spans="1:14" x14ac:dyDescent="0.25">
      <c r="A275" t="s">
        <v>279</v>
      </c>
      <c r="B275" t="s">
        <v>807</v>
      </c>
      <c r="C275" s="5">
        <v>45322</v>
      </c>
      <c r="D275" s="5">
        <v>45352</v>
      </c>
      <c r="E275" s="3">
        <v>2037.12</v>
      </c>
      <c r="F275" t="s">
        <v>815</v>
      </c>
      <c r="G275" t="s">
        <v>818</v>
      </c>
      <c r="H275" s="5">
        <v>45352</v>
      </c>
      <c r="I275" s="7">
        <f t="shared" si="4"/>
        <v>0</v>
      </c>
      <c r="J275" s="13" t="str" cm="1">
        <f t="array" ref="J275">_xlfn.IFS(I275=0, "Settled", I275&lt;=30, "1-30", I275&lt;=90, "31-90", I275&lt;=365, "91-365", I275&gt;365, "1 Year+")</f>
        <v>Settled</v>
      </c>
      <c r="K275" t="s">
        <v>819</v>
      </c>
      <c r="L275" s="3" cm="1">
        <f t="array" ref="L275">_xlfn.IFS(F275="AUD",E275*$V$2,F275="CAD",E275*$V$3,F275="EUR",E275*$V$4,F275="GBP",E275*$V$5,F275="USD",E275*$V$6)</f>
        <v>2953.8239999999996</v>
      </c>
      <c r="M275" s="3" cm="1">
        <f t="array" ref="M275">_xlfn.IFS(G275="Paid", L275, G275="Partial", L275*0.5, G275="Open", 0)</f>
        <v>2953.8239999999996</v>
      </c>
      <c r="N275" s="3" cm="1">
        <f t="array" ref="N275">_xlfn.IFS(G275="Open", L275, G275="Partial", L275*0.5, G275="Paid", 0)</f>
        <v>0</v>
      </c>
    </row>
    <row r="276" spans="1:14" x14ac:dyDescent="0.25">
      <c r="A276" t="s">
        <v>280</v>
      </c>
      <c r="B276" t="s">
        <v>807</v>
      </c>
      <c r="C276" s="5">
        <v>45332</v>
      </c>
      <c r="D276" s="5">
        <v>45362</v>
      </c>
      <c r="E276" s="3">
        <v>970.98</v>
      </c>
      <c r="F276" t="s">
        <v>814</v>
      </c>
      <c r="G276" t="s">
        <v>816</v>
      </c>
      <c r="H276" s="5" t="s">
        <v>825</v>
      </c>
      <c r="I276" s="7">
        <f t="shared" si="4"/>
        <v>744</v>
      </c>
      <c r="J276" s="13" t="str" cm="1">
        <f t="array" ref="J276">_xlfn.IFS(I276=0, "Settled", I276&lt;=30, "1-30", I276&lt;=90, "31-90", I276&lt;=365, "91-365", I276&gt;365, "1 Year+")</f>
        <v>1 Year+</v>
      </c>
      <c r="K276" t="s">
        <v>819</v>
      </c>
      <c r="L276" s="3" cm="1">
        <f t="array" ref="L276">_xlfn.IFS(F276="AUD",E276*$V$2,F276="CAD",E276*$V$3,F276="EUR",E276*$V$4,F276="GBP",E276*$V$5,F276="USD",E276*$V$6)</f>
        <v>970.98</v>
      </c>
      <c r="M276" s="3" cm="1">
        <f t="array" ref="M276">_xlfn.IFS(G276="Paid", L276, G276="Partial", L276*0.5, G276="Open", 0)</f>
        <v>0</v>
      </c>
      <c r="N276" s="3" cm="1">
        <f t="array" ref="N276">_xlfn.IFS(G276="Open", L276, G276="Partial", L276*0.5, G276="Paid", 0)</f>
        <v>970.98</v>
      </c>
    </row>
    <row r="277" spans="1:14" x14ac:dyDescent="0.25">
      <c r="A277" t="s">
        <v>281</v>
      </c>
      <c r="B277" t="s">
        <v>809</v>
      </c>
      <c r="C277" s="5">
        <v>44997</v>
      </c>
      <c r="D277" s="5">
        <v>45027</v>
      </c>
      <c r="E277" s="3">
        <v>743.53</v>
      </c>
      <c r="F277" t="s">
        <v>815</v>
      </c>
      <c r="G277" t="s">
        <v>818</v>
      </c>
      <c r="H277" s="5">
        <v>45027</v>
      </c>
      <c r="I277" s="7">
        <f t="shared" si="4"/>
        <v>0</v>
      </c>
      <c r="J277" s="13" t="str" cm="1">
        <f t="array" ref="J277">_xlfn.IFS(I277=0, "Settled", I277&lt;=30, "1-30", I277&lt;=90, "31-90", I277&lt;=365, "91-365", I277&gt;365, "1 Year+")</f>
        <v>Settled</v>
      </c>
      <c r="K277" t="s">
        <v>819</v>
      </c>
      <c r="L277" s="3" cm="1">
        <f t="array" ref="L277">_xlfn.IFS(F277="AUD",E277*$V$2,F277="CAD",E277*$V$3,F277="EUR",E277*$V$4,F277="GBP",E277*$V$5,F277="USD",E277*$V$6)</f>
        <v>1078.1185</v>
      </c>
      <c r="M277" s="3" cm="1">
        <f t="array" ref="M277">_xlfn.IFS(G277="Paid", L277, G277="Partial", L277*0.5, G277="Open", 0)</f>
        <v>1078.1185</v>
      </c>
      <c r="N277" s="3" cm="1">
        <f t="array" ref="N277">_xlfn.IFS(G277="Open", L277, G277="Partial", L277*0.5, G277="Paid", 0)</f>
        <v>0</v>
      </c>
    </row>
    <row r="278" spans="1:14" x14ac:dyDescent="0.25">
      <c r="A278" t="s">
        <v>282</v>
      </c>
      <c r="B278" t="s">
        <v>808</v>
      </c>
      <c r="C278" s="5">
        <v>45478</v>
      </c>
      <c r="D278" s="5">
        <v>45508</v>
      </c>
      <c r="E278" s="3">
        <v>983.96</v>
      </c>
      <c r="F278" t="s">
        <v>813</v>
      </c>
      <c r="G278" t="s">
        <v>816</v>
      </c>
      <c r="H278" s="5" t="s">
        <v>825</v>
      </c>
      <c r="I278" s="7">
        <f t="shared" si="4"/>
        <v>598</v>
      </c>
      <c r="J278" s="13" t="str" cm="1">
        <f t="array" ref="J278">_xlfn.IFS(I278=0, "Settled", I278&lt;=30, "1-30", I278&lt;=90, "31-90", I278&lt;=365, "91-365", I278&gt;365, "1 Year+")</f>
        <v>1 Year+</v>
      </c>
      <c r="K278" t="s">
        <v>819</v>
      </c>
      <c r="L278" s="3" cm="1">
        <f t="array" ref="L278">_xlfn.IFS(F278="AUD",E278*$V$2,F278="CAD",E278*$V$3,F278="EUR",E278*$V$4,F278="GBP",E278*$V$5,F278="USD",E278*$V$6)</f>
        <v>737.97</v>
      </c>
      <c r="M278" s="3" cm="1">
        <f t="array" ref="M278">_xlfn.IFS(G278="Paid", L278, G278="Partial", L278*0.5, G278="Open", 0)</f>
        <v>0</v>
      </c>
      <c r="N278" s="3" cm="1">
        <f t="array" ref="N278">_xlfn.IFS(G278="Open", L278, G278="Partial", L278*0.5, G278="Paid", 0)</f>
        <v>737.97</v>
      </c>
    </row>
    <row r="279" spans="1:14" x14ac:dyDescent="0.25">
      <c r="A279" t="s">
        <v>283</v>
      </c>
      <c r="B279" t="s">
        <v>808</v>
      </c>
      <c r="C279" s="5">
        <v>45513</v>
      </c>
      <c r="D279" s="5">
        <v>45543</v>
      </c>
      <c r="E279" s="3">
        <v>1917.71</v>
      </c>
      <c r="F279" t="s">
        <v>813</v>
      </c>
      <c r="G279" t="s">
        <v>816</v>
      </c>
      <c r="H279" s="5" t="s">
        <v>825</v>
      </c>
      <c r="I279" s="7">
        <f t="shared" si="4"/>
        <v>563</v>
      </c>
      <c r="J279" s="13" t="str" cm="1">
        <f t="array" ref="J279">_xlfn.IFS(I279=0, "Settled", I279&lt;=30, "1-30", I279&lt;=90, "31-90", I279&lt;=365, "91-365", I279&gt;365, "1 Year+")</f>
        <v>1 Year+</v>
      </c>
      <c r="K279" t="s">
        <v>819</v>
      </c>
      <c r="L279" s="3" cm="1">
        <f t="array" ref="L279">_xlfn.IFS(F279="AUD",E279*$V$2,F279="CAD",E279*$V$3,F279="EUR",E279*$V$4,F279="GBP",E279*$V$5,F279="USD",E279*$V$6)</f>
        <v>1438.2825</v>
      </c>
      <c r="M279" s="3" cm="1">
        <f t="array" ref="M279">_xlfn.IFS(G279="Paid", L279, G279="Partial", L279*0.5, G279="Open", 0)</f>
        <v>0</v>
      </c>
      <c r="N279" s="3" cm="1">
        <f t="array" ref="N279">_xlfn.IFS(G279="Open", L279, G279="Partial", L279*0.5, G279="Paid", 0)</f>
        <v>1438.2825</v>
      </c>
    </row>
    <row r="280" spans="1:14" x14ac:dyDescent="0.25">
      <c r="A280" t="s">
        <v>284</v>
      </c>
      <c r="B280" t="s">
        <v>806</v>
      </c>
      <c r="C280" s="5">
        <v>45487</v>
      </c>
      <c r="D280" s="5">
        <v>45517</v>
      </c>
      <c r="E280" s="3">
        <v>1199.03</v>
      </c>
      <c r="F280" t="s">
        <v>814</v>
      </c>
      <c r="G280" t="s">
        <v>817</v>
      </c>
      <c r="H280" s="5" t="s">
        <v>825</v>
      </c>
      <c r="I280" s="7">
        <f t="shared" si="4"/>
        <v>589</v>
      </c>
      <c r="J280" s="13" t="str" cm="1">
        <f t="array" ref="J280">_xlfn.IFS(I280=0, "Settled", I280&lt;=30, "1-30", I280&lt;=90, "31-90", I280&lt;=365, "91-365", I280&gt;365, "1 Year+")</f>
        <v>1 Year+</v>
      </c>
      <c r="K280" t="s">
        <v>819</v>
      </c>
      <c r="L280" s="3" cm="1">
        <f t="array" ref="L280">_xlfn.IFS(F280="AUD",E280*$V$2,F280="CAD",E280*$V$3,F280="EUR",E280*$V$4,F280="GBP",E280*$V$5,F280="USD",E280*$V$6)</f>
        <v>1199.03</v>
      </c>
      <c r="M280" s="3" cm="1">
        <f t="array" ref="M280">_xlfn.IFS(G280="Paid", L280, G280="Partial", L280*0.5, G280="Open", 0)</f>
        <v>599.51499999999999</v>
      </c>
      <c r="N280" s="3" cm="1">
        <f t="array" ref="N280">_xlfn.IFS(G280="Open", L280, G280="Partial", L280*0.5, G280="Paid", 0)</f>
        <v>599.51499999999999</v>
      </c>
    </row>
    <row r="281" spans="1:14" x14ac:dyDescent="0.25">
      <c r="A281" t="s">
        <v>285</v>
      </c>
      <c r="B281" t="s">
        <v>808</v>
      </c>
      <c r="C281" s="5">
        <v>45057</v>
      </c>
      <c r="D281" s="5">
        <v>45087</v>
      </c>
      <c r="E281" s="3">
        <v>317.85000000000002</v>
      </c>
      <c r="F281" t="s">
        <v>814</v>
      </c>
      <c r="G281" t="s">
        <v>818</v>
      </c>
      <c r="H281" s="5">
        <v>45087</v>
      </c>
      <c r="I281" s="7">
        <f t="shared" si="4"/>
        <v>0</v>
      </c>
      <c r="J281" s="13" t="str" cm="1">
        <f t="array" ref="J281">_xlfn.IFS(I281=0, "Settled", I281&lt;=30, "1-30", I281&lt;=90, "31-90", I281&lt;=365, "91-365", I281&gt;365, "1 Year+")</f>
        <v>Settled</v>
      </c>
      <c r="K281" t="s">
        <v>819</v>
      </c>
      <c r="L281" s="3" cm="1">
        <f t="array" ref="L281">_xlfn.IFS(F281="AUD",E281*$V$2,F281="CAD",E281*$V$3,F281="EUR",E281*$V$4,F281="GBP",E281*$V$5,F281="USD",E281*$V$6)</f>
        <v>317.85000000000002</v>
      </c>
      <c r="M281" s="3" cm="1">
        <f t="array" ref="M281">_xlfn.IFS(G281="Paid", L281, G281="Partial", L281*0.5, G281="Open", 0)</f>
        <v>317.85000000000002</v>
      </c>
      <c r="N281" s="3" cm="1">
        <f t="array" ref="N281">_xlfn.IFS(G281="Open", L281, G281="Partial", L281*0.5, G281="Paid", 0)</f>
        <v>0</v>
      </c>
    </row>
    <row r="282" spans="1:14" x14ac:dyDescent="0.25">
      <c r="A282" t="s">
        <v>286</v>
      </c>
      <c r="B282" t="s">
        <v>807</v>
      </c>
      <c r="C282" s="5">
        <v>45753</v>
      </c>
      <c r="D282" s="5">
        <v>45783</v>
      </c>
      <c r="E282" s="3">
        <v>4556.93</v>
      </c>
      <c r="F282" t="s">
        <v>811</v>
      </c>
      <c r="G282" t="s">
        <v>817</v>
      </c>
      <c r="H282" s="5" t="s">
        <v>825</v>
      </c>
      <c r="I282" s="7">
        <f t="shared" si="4"/>
        <v>323</v>
      </c>
      <c r="J282" s="13" t="str" cm="1">
        <f t="array" ref="J282">_xlfn.IFS(I282=0, "Settled", I282&lt;=30, "1-30", I282&lt;=90, "31-90", I282&lt;=365, "91-365", I282&gt;365, "1 Year+")</f>
        <v>91-365</v>
      </c>
      <c r="K282" t="s">
        <v>819</v>
      </c>
      <c r="L282" s="3" cm="1">
        <f t="array" ref="L282">_xlfn.IFS(F282="AUD",E282*$V$2,F282="CAD",E282*$V$3,F282="EUR",E282*$V$4,F282="GBP",E282*$V$5,F282="USD",E282*$V$6)</f>
        <v>3918.9598000000001</v>
      </c>
      <c r="M282" s="3" cm="1">
        <f t="array" ref="M282">_xlfn.IFS(G282="Paid", L282, G282="Partial", L282*0.5, G282="Open", 0)</f>
        <v>1959.4799</v>
      </c>
      <c r="N282" s="3" cm="1">
        <f t="array" ref="N282">_xlfn.IFS(G282="Open", L282, G282="Partial", L282*0.5, G282="Paid", 0)</f>
        <v>1959.4799</v>
      </c>
    </row>
    <row r="283" spans="1:14" x14ac:dyDescent="0.25">
      <c r="A283" t="s">
        <v>287</v>
      </c>
      <c r="B283" t="s">
        <v>806</v>
      </c>
      <c r="C283" s="5">
        <v>45606</v>
      </c>
      <c r="D283" s="5">
        <v>45636</v>
      </c>
      <c r="E283" s="3">
        <v>1600.22</v>
      </c>
      <c r="F283" t="s">
        <v>813</v>
      </c>
      <c r="G283" t="s">
        <v>816</v>
      </c>
      <c r="H283" s="5" t="s">
        <v>825</v>
      </c>
      <c r="I283" s="7">
        <f t="shared" si="4"/>
        <v>470</v>
      </c>
      <c r="J283" s="13" t="str" cm="1">
        <f t="array" ref="J283">_xlfn.IFS(I283=0, "Settled", I283&lt;=30, "1-30", I283&lt;=90, "31-90", I283&lt;=365, "91-365", I283&gt;365, "1 Year+")</f>
        <v>1 Year+</v>
      </c>
      <c r="K283" t="s">
        <v>819</v>
      </c>
      <c r="L283" s="3" cm="1">
        <f t="array" ref="L283">_xlfn.IFS(F283="AUD",E283*$V$2,F283="CAD",E283*$V$3,F283="EUR",E283*$V$4,F283="GBP",E283*$V$5,F283="USD",E283*$V$6)</f>
        <v>1200.165</v>
      </c>
      <c r="M283" s="3" cm="1">
        <f t="array" ref="M283">_xlfn.IFS(G283="Paid", L283, G283="Partial", L283*0.5, G283="Open", 0)</f>
        <v>0</v>
      </c>
      <c r="N283" s="3" cm="1">
        <f t="array" ref="N283">_xlfn.IFS(G283="Open", L283, G283="Partial", L283*0.5, G283="Paid", 0)</f>
        <v>1200.165</v>
      </c>
    </row>
    <row r="284" spans="1:14" x14ac:dyDescent="0.25">
      <c r="A284" t="s">
        <v>288</v>
      </c>
      <c r="B284" t="s">
        <v>807</v>
      </c>
      <c r="C284" s="5">
        <v>44974</v>
      </c>
      <c r="D284" s="5">
        <v>45004</v>
      </c>
      <c r="E284" s="3">
        <v>2011.23</v>
      </c>
      <c r="F284" t="s">
        <v>813</v>
      </c>
      <c r="G284" t="s">
        <v>816</v>
      </c>
      <c r="H284" s="5" t="s">
        <v>825</v>
      </c>
      <c r="I284" s="7">
        <f t="shared" si="4"/>
        <v>1102</v>
      </c>
      <c r="J284" s="13" t="str" cm="1">
        <f t="array" ref="J284">_xlfn.IFS(I284=0, "Settled", I284&lt;=30, "1-30", I284&lt;=90, "31-90", I284&lt;=365, "91-365", I284&gt;365, "1 Year+")</f>
        <v>1 Year+</v>
      </c>
      <c r="K284" t="s">
        <v>819</v>
      </c>
      <c r="L284" s="3" cm="1">
        <f t="array" ref="L284">_xlfn.IFS(F284="AUD",E284*$V$2,F284="CAD",E284*$V$3,F284="EUR",E284*$V$4,F284="GBP",E284*$V$5,F284="USD",E284*$V$6)</f>
        <v>1508.4225000000001</v>
      </c>
      <c r="M284" s="3" cm="1">
        <f t="array" ref="M284">_xlfn.IFS(G284="Paid", L284, G284="Partial", L284*0.5, G284="Open", 0)</f>
        <v>0</v>
      </c>
      <c r="N284" s="3" cm="1">
        <f t="array" ref="N284">_xlfn.IFS(G284="Open", L284, G284="Partial", L284*0.5, G284="Paid", 0)</f>
        <v>1508.4225000000001</v>
      </c>
    </row>
    <row r="285" spans="1:14" x14ac:dyDescent="0.25">
      <c r="A285" t="s">
        <v>289</v>
      </c>
      <c r="B285" t="s">
        <v>807</v>
      </c>
      <c r="C285" s="5">
        <v>45581</v>
      </c>
      <c r="D285" s="5">
        <v>45611</v>
      </c>
      <c r="E285" s="3">
        <v>2093.29</v>
      </c>
      <c r="F285" t="s">
        <v>812</v>
      </c>
      <c r="G285" t="s">
        <v>816</v>
      </c>
      <c r="H285" s="5" t="s">
        <v>825</v>
      </c>
      <c r="I285" s="7">
        <f t="shared" si="4"/>
        <v>495</v>
      </c>
      <c r="J285" s="13" t="str" cm="1">
        <f t="array" ref="J285">_xlfn.IFS(I285=0, "Settled", I285&lt;=30, "1-30", I285&lt;=90, "31-90", I285&lt;=365, "91-365", I285&gt;365, "1 Year+")</f>
        <v>1 Year+</v>
      </c>
      <c r="K285" t="s">
        <v>819</v>
      </c>
      <c r="L285" s="3" cm="1">
        <f t="array" ref="L285">_xlfn.IFS(F285="AUD",E285*$V$2,F285="CAD",E285*$V$3,F285="EUR",E285*$V$4,F285="GBP",E285*$V$5,F285="USD",E285*$V$6)</f>
        <v>2888.7401999999997</v>
      </c>
      <c r="M285" s="3" cm="1">
        <f t="array" ref="M285">_xlfn.IFS(G285="Paid", L285, G285="Partial", L285*0.5, G285="Open", 0)</f>
        <v>0</v>
      </c>
      <c r="N285" s="3" cm="1">
        <f t="array" ref="N285">_xlfn.IFS(G285="Open", L285, G285="Partial", L285*0.5, G285="Paid", 0)</f>
        <v>2888.7401999999997</v>
      </c>
    </row>
    <row r="286" spans="1:14" x14ac:dyDescent="0.25">
      <c r="A286" t="s">
        <v>290</v>
      </c>
      <c r="B286" t="s">
        <v>810</v>
      </c>
      <c r="C286" s="5">
        <v>45752</v>
      </c>
      <c r="D286" s="5">
        <v>45782</v>
      </c>
      <c r="E286" s="3">
        <v>4095</v>
      </c>
      <c r="F286" t="s">
        <v>812</v>
      </c>
      <c r="G286" t="s">
        <v>817</v>
      </c>
      <c r="H286" s="5" t="s">
        <v>825</v>
      </c>
      <c r="I286" s="7">
        <f t="shared" si="4"/>
        <v>324</v>
      </c>
      <c r="J286" s="13" t="str" cm="1">
        <f t="array" ref="J286">_xlfn.IFS(I286=0, "Settled", I286&lt;=30, "1-30", I286&lt;=90, "31-90", I286&lt;=365, "91-365", I286&gt;365, "1 Year+")</f>
        <v>91-365</v>
      </c>
      <c r="K286" t="s">
        <v>819</v>
      </c>
      <c r="L286" s="3" cm="1">
        <f t="array" ref="L286">_xlfn.IFS(F286="AUD",E286*$V$2,F286="CAD",E286*$V$3,F286="EUR",E286*$V$4,F286="GBP",E286*$V$5,F286="USD",E286*$V$6)</f>
        <v>5651.0999999999995</v>
      </c>
      <c r="M286" s="3" cm="1">
        <f t="array" ref="M286">_xlfn.IFS(G286="Paid", L286, G286="Partial", L286*0.5, G286="Open", 0)</f>
        <v>2825.5499999999997</v>
      </c>
      <c r="N286" s="3" cm="1">
        <f t="array" ref="N286">_xlfn.IFS(G286="Open", L286, G286="Partial", L286*0.5, G286="Paid", 0)</f>
        <v>2825.5499999999997</v>
      </c>
    </row>
    <row r="287" spans="1:14" x14ac:dyDescent="0.25">
      <c r="A287" t="s">
        <v>291</v>
      </c>
      <c r="B287" t="s">
        <v>806</v>
      </c>
      <c r="C287" s="5">
        <v>45302</v>
      </c>
      <c r="D287" s="5">
        <v>45332</v>
      </c>
      <c r="E287" s="3">
        <v>3459.29</v>
      </c>
      <c r="F287" t="s">
        <v>813</v>
      </c>
      <c r="G287" t="s">
        <v>817</v>
      </c>
      <c r="H287" s="5" t="s">
        <v>825</v>
      </c>
      <c r="I287" s="7">
        <f t="shared" si="4"/>
        <v>774</v>
      </c>
      <c r="J287" s="13" t="str" cm="1">
        <f t="array" ref="J287">_xlfn.IFS(I287=0, "Settled", I287&lt;=30, "1-30", I287&lt;=90, "31-90", I287&lt;=365, "91-365", I287&gt;365, "1 Year+")</f>
        <v>1 Year+</v>
      </c>
      <c r="K287" t="s">
        <v>819</v>
      </c>
      <c r="L287" s="3" cm="1">
        <f t="array" ref="L287">_xlfn.IFS(F287="AUD",E287*$V$2,F287="CAD",E287*$V$3,F287="EUR",E287*$V$4,F287="GBP",E287*$V$5,F287="USD",E287*$V$6)</f>
        <v>2594.4674999999997</v>
      </c>
      <c r="M287" s="3" cm="1">
        <f t="array" ref="M287">_xlfn.IFS(G287="Paid", L287, G287="Partial", L287*0.5, G287="Open", 0)</f>
        <v>1297.2337499999999</v>
      </c>
      <c r="N287" s="3" cm="1">
        <f t="array" ref="N287">_xlfn.IFS(G287="Open", L287, G287="Partial", L287*0.5, G287="Paid", 0)</f>
        <v>1297.2337499999999</v>
      </c>
    </row>
    <row r="288" spans="1:14" x14ac:dyDescent="0.25">
      <c r="A288" t="s">
        <v>292</v>
      </c>
      <c r="B288" t="s">
        <v>807</v>
      </c>
      <c r="C288" s="5">
        <v>45225</v>
      </c>
      <c r="D288" s="5">
        <v>45255</v>
      </c>
      <c r="E288" s="3">
        <v>310.83999999999997</v>
      </c>
      <c r="F288" t="s">
        <v>814</v>
      </c>
      <c r="G288" t="s">
        <v>818</v>
      </c>
      <c r="H288" s="5">
        <v>45255</v>
      </c>
      <c r="I288" s="7">
        <f t="shared" si="4"/>
        <v>0</v>
      </c>
      <c r="J288" s="13" t="str" cm="1">
        <f t="array" ref="J288">_xlfn.IFS(I288=0, "Settled", I288&lt;=30, "1-30", I288&lt;=90, "31-90", I288&lt;=365, "91-365", I288&gt;365, "1 Year+")</f>
        <v>Settled</v>
      </c>
      <c r="K288" t="s">
        <v>819</v>
      </c>
      <c r="L288" s="3" cm="1">
        <f t="array" ref="L288">_xlfn.IFS(F288="AUD",E288*$V$2,F288="CAD",E288*$V$3,F288="EUR",E288*$V$4,F288="GBP",E288*$V$5,F288="USD",E288*$V$6)</f>
        <v>310.83999999999997</v>
      </c>
      <c r="M288" s="3" cm="1">
        <f t="array" ref="M288">_xlfn.IFS(G288="Paid", L288, G288="Partial", L288*0.5, G288="Open", 0)</f>
        <v>310.83999999999997</v>
      </c>
      <c r="N288" s="3" cm="1">
        <f t="array" ref="N288">_xlfn.IFS(G288="Open", L288, G288="Partial", L288*0.5, G288="Paid", 0)</f>
        <v>0</v>
      </c>
    </row>
    <row r="289" spans="1:14" x14ac:dyDescent="0.25">
      <c r="A289" t="s">
        <v>293</v>
      </c>
      <c r="B289" t="s">
        <v>808</v>
      </c>
      <c r="C289" s="5">
        <v>45559</v>
      </c>
      <c r="D289" s="5">
        <v>45589</v>
      </c>
      <c r="E289" s="3">
        <v>929.39</v>
      </c>
      <c r="F289" t="s">
        <v>811</v>
      </c>
      <c r="G289" t="s">
        <v>817</v>
      </c>
      <c r="H289" s="5" t="s">
        <v>825</v>
      </c>
      <c r="I289" s="7">
        <f t="shared" si="4"/>
        <v>517</v>
      </c>
      <c r="J289" s="13" t="str" cm="1">
        <f t="array" ref="J289">_xlfn.IFS(I289=0, "Settled", I289&lt;=30, "1-30", I289&lt;=90, "31-90", I289&lt;=365, "91-365", I289&gt;365, "1 Year+")</f>
        <v>1 Year+</v>
      </c>
      <c r="K289" t="s">
        <v>819</v>
      </c>
      <c r="L289" s="3" cm="1">
        <f t="array" ref="L289">_xlfn.IFS(F289="AUD",E289*$V$2,F289="CAD",E289*$V$3,F289="EUR",E289*$V$4,F289="GBP",E289*$V$5,F289="USD",E289*$V$6)</f>
        <v>799.27539999999999</v>
      </c>
      <c r="M289" s="3" cm="1">
        <f t="array" ref="M289">_xlfn.IFS(G289="Paid", L289, G289="Partial", L289*0.5, G289="Open", 0)</f>
        <v>399.6377</v>
      </c>
      <c r="N289" s="3" cm="1">
        <f t="array" ref="N289">_xlfn.IFS(G289="Open", L289, G289="Partial", L289*0.5, G289="Paid", 0)</f>
        <v>399.6377</v>
      </c>
    </row>
    <row r="290" spans="1:14" x14ac:dyDescent="0.25">
      <c r="A290" t="s">
        <v>294</v>
      </c>
      <c r="B290" t="s">
        <v>810</v>
      </c>
      <c r="C290" s="5">
        <v>45001</v>
      </c>
      <c r="D290" s="5">
        <v>45031</v>
      </c>
      <c r="E290" s="3">
        <v>4087.15</v>
      </c>
      <c r="F290" t="s">
        <v>814</v>
      </c>
      <c r="G290" t="s">
        <v>818</v>
      </c>
      <c r="H290" s="5">
        <v>45031</v>
      </c>
      <c r="I290" s="7">
        <f t="shared" si="4"/>
        <v>0</v>
      </c>
      <c r="J290" s="13" t="str" cm="1">
        <f t="array" ref="J290">_xlfn.IFS(I290=0, "Settled", I290&lt;=30, "1-30", I290&lt;=90, "31-90", I290&lt;=365, "91-365", I290&gt;365, "1 Year+")</f>
        <v>Settled</v>
      </c>
      <c r="K290" t="s">
        <v>819</v>
      </c>
      <c r="L290" s="3" cm="1">
        <f t="array" ref="L290">_xlfn.IFS(F290="AUD",E290*$V$2,F290="CAD",E290*$V$3,F290="EUR",E290*$V$4,F290="GBP",E290*$V$5,F290="USD",E290*$V$6)</f>
        <v>4087.15</v>
      </c>
      <c r="M290" s="3" cm="1">
        <f t="array" ref="M290">_xlfn.IFS(G290="Paid", L290, G290="Partial", L290*0.5, G290="Open", 0)</f>
        <v>4087.15</v>
      </c>
      <c r="N290" s="3" cm="1">
        <f t="array" ref="N290">_xlfn.IFS(G290="Open", L290, G290="Partial", L290*0.5, G290="Paid", 0)</f>
        <v>0</v>
      </c>
    </row>
    <row r="291" spans="1:14" x14ac:dyDescent="0.25">
      <c r="A291" t="s">
        <v>295</v>
      </c>
      <c r="B291" t="s">
        <v>809</v>
      </c>
      <c r="C291" s="5">
        <v>45741</v>
      </c>
      <c r="D291" s="5">
        <v>45771</v>
      </c>
      <c r="E291" s="3">
        <v>2351.0300000000002</v>
      </c>
      <c r="F291" t="s">
        <v>812</v>
      </c>
      <c r="G291" t="s">
        <v>816</v>
      </c>
      <c r="H291" s="5" t="s">
        <v>825</v>
      </c>
      <c r="I291" s="7">
        <f t="shared" si="4"/>
        <v>335</v>
      </c>
      <c r="J291" s="13" t="str" cm="1">
        <f t="array" ref="J291">_xlfn.IFS(I291=0, "Settled", I291&lt;=30, "1-30", I291&lt;=90, "31-90", I291&lt;=365, "91-365", I291&gt;365, "1 Year+")</f>
        <v>91-365</v>
      </c>
      <c r="K291" t="s">
        <v>819</v>
      </c>
      <c r="L291" s="3" cm="1">
        <f t="array" ref="L291">_xlfn.IFS(F291="AUD",E291*$V$2,F291="CAD",E291*$V$3,F291="EUR",E291*$V$4,F291="GBP",E291*$V$5,F291="USD",E291*$V$6)</f>
        <v>3244.4214000000002</v>
      </c>
      <c r="M291" s="3" cm="1">
        <f t="array" ref="M291">_xlfn.IFS(G291="Paid", L291, G291="Partial", L291*0.5, G291="Open", 0)</f>
        <v>0</v>
      </c>
      <c r="N291" s="3" cm="1">
        <f t="array" ref="N291">_xlfn.IFS(G291="Open", L291, G291="Partial", L291*0.5, G291="Paid", 0)</f>
        <v>3244.4214000000002</v>
      </c>
    </row>
    <row r="292" spans="1:14" x14ac:dyDescent="0.25">
      <c r="A292" t="s">
        <v>296</v>
      </c>
      <c r="B292" t="s">
        <v>810</v>
      </c>
      <c r="C292" s="5">
        <v>45152</v>
      </c>
      <c r="D292" s="5">
        <v>45182</v>
      </c>
      <c r="E292" s="3">
        <v>4799.5</v>
      </c>
      <c r="F292" t="s">
        <v>813</v>
      </c>
      <c r="G292" t="s">
        <v>818</v>
      </c>
      <c r="H292" s="5">
        <v>45182</v>
      </c>
      <c r="I292" s="7">
        <f t="shared" si="4"/>
        <v>0</v>
      </c>
      <c r="J292" s="13" t="str" cm="1">
        <f t="array" ref="J292">_xlfn.IFS(I292=0, "Settled", I292&lt;=30, "1-30", I292&lt;=90, "31-90", I292&lt;=365, "91-365", I292&gt;365, "1 Year+")</f>
        <v>Settled</v>
      </c>
      <c r="K292" t="s">
        <v>819</v>
      </c>
      <c r="L292" s="3" cm="1">
        <f t="array" ref="L292">_xlfn.IFS(F292="AUD",E292*$V$2,F292="CAD",E292*$V$3,F292="EUR",E292*$V$4,F292="GBP",E292*$V$5,F292="USD",E292*$V$6)</f>
        <v>3599.625</v>
      </c>
      <c r="M292" s="3" cm="1">
        <f t="array" ref="M292">_xlfn.IFS(G292="Paid", L292, G292="Partial", L292*0.5, G292="Open", 0)</f>
        <v>3599.625</v>
      </c>
      <c r="N292" s="3" cm="1">
        <f t="array" ref="N292">_xlfn.IFS(G292="Open", L292, G292="Partial", L292*0.5, G292="Paid", 0)</f>
        <v>0</v>
      </c>
    </row>
    <row r="293" spans="1:14" x14ac:dyDescent="0.25">
      <c r="A293" t="s">
        <v>297</v>
      </c>
      <c r="B293" t="s">
        <v>810</v>
      </c>
      <c r="C293" s="5">
        <v>45105</v>
      </c>
      <c r="D293" s="5">
        <v>45135</v>
      </c>
      <c r="E293" s="3">
        <v>2284.77</v>
      </c>
      <c r="F293" t="s">
        <v>815</v>
      </c>
      <c r="G293" t="s">
        <v>816</v>
      </c>
      <c r="H293" s="5" t="s">
        <v>825</v>
      </c>
      <c r="I293" s="7">
        <f t="shared" si="4"/>
        <v>971</v>
      </c>
      <c r="J293" s="13" t="str" cm="1">
        <f t="array" ref="J293">_xlfn.IFS(I293=0, "Settled", I293&lt;=30, "1-30", I293&lt;=90, "31-90", I293&lt;=365, "91-365", I293&gt;365, "1 Year+")</f>
        <v>1 Year+</v>
      </c>
      <c r="K293" t="s">
        <v>819</v>
      </c>
      <c r="L293" s="3" cm="1">
        <f t="array" ref="L293">_xlfn.IFS(F293="AUD",E293*$V$2,F293="CAD",E293*$V$3,F293="EUR",E293*$V$4,F293="GBP",E293*$V$5,F293="USD",E293*$V$6)</f>
        <v>3312.9164999999998</v>
      </c>
      <c r="M293" s="3" cm="1">
        <f t="array" ref="M293">_xlfn.IFS(G293="Paid", L293, G293="Partial", L293*0.5, G293="Open", 0)</f>
        <v>0</v>
      </c>
      <c r="N293" s="3" cm="1">
        <f t="array" ref="N293">_xlfn.IFS(G293="Open", L293, G293="Partial", L293*0.5, G293="Paid", 0)</f>
        <v>3312.9164999999998</v>
      </c>
    </row>
    <row r="294" spans="1:14" x14ac:dyDescent="0.25">
      <c r="A294" t="s">
        <v>298</v>
      </c>
      <c r="B294" t="s">
        <v>807</v>
      </c>
      <c r="C294" s="5">
        <v>45142</v>
      </c>
      <c r="D294" s="5">
        <v>45172</v>
      </c>
      <c r="E294" s="3">
        <v>2951.68</v>
      </c>
      <c r="F294" t="s">
        <v>815</v>
      </c>
      <c r="G294" t="s">
        <v>818</v>
      </c>
      <c r="H294" s="5">
        <v>45172</v>
      </c>
      <c r="I294" s="7">
        <f t="shared" si="4"/>
        <v>0</v>
      </c>
      <c r="J294" s="13" t="str" cm="1">
        <f t="array" ref="J294">_xlfn.IFS(I294=0, "Settled", I294&lt;=30, "1-30", I294&lt;=90, "31-90", I294&lt;=365, "91-365", I294&gt;365, "1 Year+")</f>
        <v>Settled</v>
      </c>
      <c r="K294" t="s">
        <v>819</v>
      </c>
      <c r="L294" s="3" cm="1">
        <f t="array" ref="L294">_xlfn.IFS(F294="AUD",E294*$V$2,F294="CAD",E294*$V$3,F294="EUR",E294*$V$4,F294="GBP",E294*$V$5,F294="USD",E294*$V$6)</f>
        <v>4279.9359999999997</v>
      </c>
      <c r="M294" s="3" cm="1">
        <f t="array" ref="M294">_xlfn.IFS(G294="Paid", L294, G294="Partial", L294*0.5, G294="Open", 0)</f>
        <v>4279.9359999999997</v>
      </c>
      <c r="N294" s="3" cm="1">
        <f t="array" ref="N294">_xlfn.IFS(G294="Open", L294, G294="Partial", L294*0.5, G294="Paid", 0)</f>
        <v>0</v>
      </c>
    </row>
    <row r="295" spans="1:14" x14ac:dyDescent="0.25">
      <c r="A295" t="s">
        <v>299</v>
      </c>
      <c r="B295" t="s">
        <v>808</v>
      </c>
      <c r="C295" s="5">
        <v>45457</v>
      </c>
      <c r="D295" s="5">
        <v>45487</v>
      </c>
      <c r="E295" s="3">
        <v>4227.92</v>
      </c>
      <c r="F295" t="s">
        <v>815</v>
      </c>
      <c r="G295" t="s">
        <v>817</v>
      </c>
      <c r="H295" s="5" t="s">
        <v>825</v>
      </c>
      <c r="I295" s="7">
        <f t="shared" si="4"/>
        <v>619</v>
      </c>
      <c r="J295" s="13" t="str" cm="1">
        <f t="array" ref="J295">_xlfn.IFS(I295=0, "Settled", I295&lt;=30, "1-30", I295&lt;=90, "31-90", I295&lt;=365, "91-365", I295&gt;365, "1 Year+")</f>
        <v>1 Year+</v>
      </c>
      <c r="K295" t="s">
        <v>819</v>
      </c>
      <c r="L295" s="3" cm="1">
        <f t="array" ref="L295">_xlfn.IFS(F295="AUD",E295*$V$2,F295="CAD",E295*$V$3,F295="EUR",E295*$V$4,F295="GBP",E295*$V$5,F295="USD",E295*$V$6)</f>
        <v>6130.4839999999995</v>
      </c>
      <c r="M295" s="3" cm="1">
        <f t="array" ref="M295">_xlfn.IFS(G295="Paid", L295, G295="Partial", L295*0.5, G295="Open", 0)</f>
        <v>3065.2419999999997</v>
      </c>
      <c r="N295" s="3" cm="1">
        <f t="array" ref="N295">_xlfn.IFS(G295="Open", L295, G295="Partial", L295*0.5, G295="Paid", 0)</f>
        <v>3065.2419999999997</v>
      </c>
    </row>
    <row r="296" spans="1:14" x14ac:dyDescent="0.25">
      <c r="A296" t="s">
        <v>300</v>
      </c>
      <c r="B296" t="s">
        <v>810</v>
      </c>
      <c r="C296" s="5">
        <v>45617</v>
      </c>
      <c r="D296" s="5">
        <v>45647</v>
      </c>
      <c r="E296" s="3">
        <v>1060.77</v>
      </c>
      <c r="F296" t="s">
        <v>815</v>
      </c>
      <c r="G296" t="s">
        <v>818</v>
      </c>
      <c r="H296" s="5">
        <v>45647</v>
      </c>
      <c r="I296" s="7">
        <f t="shared" si="4"/>
        <v>0</v>
      </c>
      <c r="J296" s="13" t="str" cm="1">
        <f t="array" ref="J296">_xlfn.IFS(I296=0, "Settled", I296&lt;=30, "1-30", I296&lt;=90, "31-90", I296&lt;=365, "91-365", I296&gt;365, "1 Year+")</f>
        <v>Settled</v>
      </c>
      <c r="K296" t="s">
        <v>819</v>
      </c>
      <c r="L296" s="3" cm="1">
        <f t="array" ref="L296">_xlfn.IFS(F296="AUD",E296*$V$2,F296="CAD",E296*$V$3,F296="EUR",E296*$V$4,F296="GBP",E296*$V$5,F296="USD",E296*$V$6)</f>
        <v>1538.1164999999999</v>
      </c>
      <c r="M296" s="3" cm="1">
        <f t="array" ref="M296">_xlfn.IFS(G296="Paid", L296, G296="Partial", L296*0.5, G296="Open", 0)</f>
        <v>1538.1164999999999</v>
      </c>
      <c r="N296" s="3" cm="1">
        <f t="array" ref="N296">_xlfn.IFS(G296="Open", L296, G296="Partial", L296*0.5, G296="Paid", 0)</f>
        <v>0</v>
      </c>
    </row>
    <row r="297" spans="1:14" x14ac:dyDescent="0.25">
      <c r="A297" t="s">
        <v>301</v>
      </c>
      <c r="B297" t="s">
        <v>806</v>
      </c>
      <c r="C297" s="5">
        <v>45285</v>
      </c>
      <c r="D297" s="5">
        <v>45315</v>
      </c>
      <c r="E297" s="3">
        <v>4147.42</v>
      </c>
      <c r="F297" t="s">
        <v>815</v>
      </c>
      <c r="G297" t="s">
        <v>817</v>
      </c>
      <c r="H297" s="5" t="s">
        <v>825</v>
      </c>
      <c r="I297" s="7">
        <f t="shared" si="4"/>
        <v>791</v>
      </c>
      <c r="J297" s="13" t="str" cm="1">
        <f t="array" ref="J297">_xlfn.IFS(I297=0, "Settled", I297&lt;=30, "1-30", I297&lt;=90, "31-90", I297&lt;=365, "91-365", I297&gt;365, "1 Year+")</f>
        <v>1 Year+</v>
      </c>
      <c r="K297" t="s">
        <v>819</v>
      </c>
      <c r="L297" s="3" cm="1">
        <f t="array" ref="L297">_xlfn.IFS(F297="AUD",E297*$V$2,F297="CAD",E297*$V$3,F297="EUR",E297*$V$4,F297="GBP",E297*$V$5,F297="USD",E297*$V$6)</f>
        <v>6013.759</v>
      </c>
      <c r="M297" s="3" cm="1">
        <f t="array" ref="M297">_xlfn.IFS(G297="Paid", L297, G297="Partial", L297*0.5, G297="Open", 0)</f>
        <v>3006.8795</v>
      </c>
      <c r="N297" s="3" cm="1">
        <f t="array" ref="N297">_xlfn.IFS(G297="Open", L297, G297="Partial", L297*0.5, G297="Paid", 0)</f>
        <v>3006.8795</v>
      </c>
    </row>
    <row r="298" spans="1:14" x14ac:dyDescent="0.25">
      <c r="A298" t="s">
        <v>302</v>
      </c>
      <c r="B298" t="s">
        <v>808</v>
      </c>
      <c r="C298" s="5">
        <v>45206</v>
      </c>
      <c r="D298" s="5">
        <v>45236</v>
      </c>
      <c r="E298" s="3">
        <v>4406.58</v>
      </c>
      <c r="F298" t="s">
        <v>813</v>
      </c>
      <c r="G298" t="s">
        <v>818</v>
      </c>
      <c r="H298" s="5">
        <v>45236</v>
      </c>
      <c r="I298" s="7">
        <f t="shared" si="4"/>
        <v>0</v>
      </c>
      <c r="J298" s="13" t="str" cm="1">
        <f t="array" ref="J298">_xlfn.IFS(I298=0, "Settled", I298&lt;=30, "1-30", I298&lt;=90, "31-90", I298&lt;=365, "91-365", I298&gt;365, "1 Year+")</f>
        <v>Settled</v>
      </c>
      <c r="K298" t="s">
        <v>819</v>
      </c>
      <c r="L298" s="3" cm="1">
        <f t="array" ref="L298">_xlfn.IFS(F298="AUD",E298*$V$2,F298="CAD",E298*$V$3,F298="EUR",E298*$V$4,F298="GBP",E298*$V$5,F298="USD",E298*$V$6)</f>
        <v>3304.9349999999999</v>
      </c>
      <c r="M298" s="3" cm="1">
        <f t="array" ref="M298">_xlfn.IFS(G298="Paid", L298, G298="Partial", L298*0.5, G298="Open", 0)</f>
        <v>3304.9349999999999</v>
      </c>
      <c r="N298" s="3" cm="1">
        <f t="array" ref="N298">_xlfn.IFS(G298="Open", L298, G298="Partial", L298*0.5, G298="Paid", 0)</f>
        <v>0</v>
      </c>
    </row>
    <row r="299" spans="1:14" x14ac:dyDescent="0.25">
      <c r="A299" t="s">
        <v>303</v>
      </c>
      <c r="B299" t="s">
        <v>809</v>
      </c>
      <c r="C299" s="5">
        <v>45069</v>
      </c>
      <c r="D299" s="5">
        <v>45099</v>
      </c>
      <c r="E299" s="3">
        <v>3855.44</v>
      </c>
      <c r="F299" t="s">
        <v>812</v>
      </c>
      <c r="G299" t="s">
        <v>816</v>
      </c>
      <c r="H299" s="5" t="s">
        <v>825</v>
      </c>
      <c r="I299" s="7">
        <f t="shared" si="4"/>
        <v>1007</v>
      </c>
      <c r="J299" s="13" t="str" cm="1">
        <f t="array" ref="J299">_xlfn.IFS(I299=0, "Settled", I299&lt;=30, "1-30", I299&lt;=90, "31-90", I299&lt;=365, "91-365", I299&gt;365, "1 Year+")</f>
        <v>1 Year+</v>
      </c>
      <c r="K299" t="s">
        <v>819</v>
      </c>
      <c r="L299" s="3" cm="1">
        <f t="array" ref="L299">_xlfn.IFS(F299="AUD",E299*$V$2,F299="CAD",E299*$V$3,F299="EUR",E299*$V$4,F299="GBP",E299*$V$5,F299="USD",E299*$V$6)</f>
        <v>5320.5072</v>
      </c>
      <c r="M299" s="3" cm="1">
        <f t="array" ref="M299">_xlfn.IFS(G299="Paid", L299, G299="Partial", L299*0.5, G299="Open", 0)</f>
        <v>0</v>
      </c>
      <c r="N299" s="3" cm="1">
        <f t="array" ref="N299">_xlfn.IFS(G299="Open", L299, G299="Partial", L299*0.5, G299="Paid", 0)</f>
        <v>5320.5072</v>
      </c>
    </row>
    <row r="300" spans="1:14" x14ac:dyDescent="0.25">
      <c r="A300" t="s">
        <v>304</v>
      </c>
      <c r="B300" t="s">
        <v>808</v>
      </c>
      <c r="C300" s="5">
        <v>45773</v>
      </c>
      <c r="D300" s="5">
        <v>45803</v>
      </c>
      <c r="E300" s="3">
        <v>1239.49</v>
      </c>
      <c r="F300" t="s">
        <v>812</v>
      </c>
      <c r="G300" t="s">
        <v>816</v>
      </c>
      <c r="H300" s="5" t="s">
        <v>825</v>
      </c>
      <c r="I300" s="7">
        <f t="shared" si="4"/>
        <v>303</v>
      </c>
      <c r="J300" s="13" t="str" cm="1">
        <f t="array" ref="J300">_xlfn.IFS(I300=0, "Settled", I300&lt;=30, "1-30", I300&lt;=90, "31-90", I300&lt;=365, "91-365", I300&gt;365, "1 Year+")</f>
        <v>91-365</v>
      </c>
      <c r="K300" t="s">
        <v>819</v>
      </c>
      <c r="L300" s="3" cm="1">
        <f t="array" ref="L300">_xlfn.IFS(F300="AUD",E300*$V$2,F300="CAD",E300*$V$3,F300="EUR",E300*$V$4,F300="GBP",E300*$V$5,F300="USD",E300*$V$6)</f>
        <v>1710.4961999999998</v>
      </c>
      <c r="M300" s="3" cm="1">
        <f t="array" ref="M300">_xlfn.IFS(G300="Paid", L300, G300="Partial", L300*0.5, G300="Open", 0)</f>
        <v>0</v>
      </c>
      <c r="N300" s="3" cm="1">
        <f t="array" ref="N300">_xlfn.IFS(G300="Open", L300, G300="Partial", L300*0.5, G300="Paid", 0)</f>
        <v>1710.4961999999998</v>
      </c>
    </row>
    <row r="301" spans="1:14" x14ac:dyDescent="0.25">
      <c r="A301" t="s">
        <v>305</v>
      </c>
      <c r="B301" t="s">
        <v>809</v>
      </c>
      <c r="C301" s="5">
        <v>45819</v>
      </c>
      <c r="D301" s="5">
        <v>45849</v>
      </c>
      <c r="E301" s="3">
        <v>4842.93</v>
      </c>
      <c r="F301" t="s">
        <v>815</v>
      </c>
      <c r="G301" t="s">
        <v>816</v>
      </c>
      <c r="H301" s="5" t="s">
        <v>825</v>
      </c>
      <c r="I301" s="7">
        <f t="shared" si="4"/>
        <v>257</v>
      </c>
      <c r="J301" s="13" t="str" cm="1">
        <f t="array" ref="J301">_xlfn.IFS(I301=0, "Settled", I301&lt;=30, "1-30", I301&lt;=90, "31-90", I301&lt;=365, "91-365", I301&gt;365, "1 Year+")</f>
        <v>91-365</v>
      </c>
      <c r="K301" t="s">
        <v>819</v>
      </c>
      <c r="L301" s="3" cm="1">
        <f t="array" ref="L301">_xlfn.IFS(F301="AUD",E301*$V$2,F301="CAD",E301*$V$3,F301="EUR",E301*$V$4,F301="GBP",E301*$V$5,F301="USD",E301*$V$6)</f>
        <v>7022.2485000000006</v>
      </c>
      <c r="M301" s="3" cm="1">
        <f t="array" ref="M301">_xlfn.IFS(G301="Paid", L301, G301="Partial", L301*0.5, G301="Open", 0)</f>
        <v>0</v>
      </c>
      <c r="N301" s="3" cm="1">
        <f t="array" ref="N301">_xlfn.IFS(G301="Open", L301, G301="Partial", L301*0.5, G301="Paid", 0)</f>
        <v>7022.2485000000006</v>
      </c>
    </row>
    <row r="302" spans="1:14" x14ac:dyDescent="0.25">
      <c r="A302" t="s">
        <v>306</v>
      </c>
      <c r="B302" t="s">
        <v>806</v>
      </c>
      <c r="C302" s="5">
        <v>45833</v>
      </c>
      <c r="D302" s="5">
        <v>45863</v>
      </c>
      <c r="E302" s="3">
        <v>1477.77</v>
      </c>
      <c r="F302" t="s">
        <v>814</v>
      </c>
      <c r="G302" t="s">
        <v>816</v>
      </c>
      <c r="H302" s="5" t="s">
        <v>825</v>
      </c>
      <c r="I302" s="7">
        <f t="shared" si="4"/>
        <v>243</v>
      </c>
      <c r="J302" s="13" t="str" cm="1">
        <f t="array" ref="J302">_xlfn.IFS(I302=0, "Settled", I302&lt;=30, "1-30", I302&lt;=90, "31-90", I302&lt;=365, "91-365", I302&gt;365, "1 Year+")</f>
        <v>91-365</v>
      </c>
      <c r="K302" t="s">
        <v>819</v>
      </c>
      <c r="L302" s="3" cm="1">
        <f t="array" ref="L302">_xlfn.IFS(F302="AUD",E302*$V$2,F302="CAD",E302*$V$3,F302="EUR",E302*$V$4,F302="GBP",E302*$V$5,F302="USD",E302*$V$6)</f>
        <v>1477.77</v>
      </c>
      <c r="M302" s="3" cm="1">
        <f t="array" ref="M302">_xlfn.IFS(G302="Paid", L302, G302="Partial", L302*0.5, G302="Open", 0)</f>
        <v>0</v>
      </c>
      <c r="N302" s="3" cm="1">
        <f t="array" ref="N302">_xlfn.IFS(G302="Open", L302, G302="Partial", L302*0.5, G302="Paid", 0)</f>
        <v>1477.77</v>
      </c>
    </row>
    <row r="303" spans="1:14" x14ac:dyDescent="0.25">
      <c r="A303" t="s">
        <v>307</v>
      </c>
      <c r="B303" t="s">
        <v>807</v>
      </c>
      <c r="C303" s="5">
        <v>45717</v>
      </c>
      <c r="D303" s="5">
        <v>45747</v>
      </c>
      <c r="E303" s="3">
        <v>4772.12</v>
      </c>
      <c r="F303" t="s">
        <v>814</v>
      </c>
      <c r="G303" t="s">
        <v>818</v>
      </c>
      <c r="H303" s="5">
        <v>45747</v>
      </c>
      <c r="I303" s="7">
        <f t="shared" si="4"/>
        <v>0</v>
      </c>
      <c r="J303" s="13" t="str" cm="1">
        <f t="array" ref="J303">_xlfn.IFS(I303=0, "Settled", I303&lt;=30, "1-30", I303&lt;=90, "31-90", I303&lt;=365, "91-365", I303&gt;365, "1 Year+")</f>
        <v>Settled</v>
      </c>
      <c r="K303" t="s">
        <v>819</v>
      </c>
      <c r="L303" s="3" cm="1">
        <f t="array" ref="L303">_xlfn.IFS(F303="AUD",E303*$V$2,F303="CAD",E303*$V$3,F303="EUR",E303*$V$4,F303="GBP",E303*$V$5,F303="USD",E303*$V$6)</f>
        <v>4772.12</v>
      </c>
      <c r="M303" s="3" cm="1">
        <f t="array" ref="M303">_xlfn.IFS(G303="Paid", L303, G303="Partial", L303*0.5, G303="Open", 0)</f>
        <v>4772.12</v>
      </c>
      <c r="N303" s="3" cm="1">
        <f t="array" ref="N303">_xlfn.IFS(G303="Open", L303, G303="Partial", L303*0.5, G303="Paid", 0)</f>
        <v>0</v>
      </c>
    </row>
    <row r="304" spans="1:14" x14ac:dyDescent="0.25">
      <c r="A304" t="s">
        <v>308</v>
      </c>
      <c r="B304" t="s">
        <v>810</v>
      </c>
      <c r="C304" s="5">
        <v>45035</v>
      </c>
      <c r="D304" s="5">
        <v>45065</v>
      </c>
      <c r="E304" s="3">
        <v>2860.03</v>
      </c>
      <c r="F304" t="s">
        <v>815</v>
      </c>
      <c r="G304" t="s">
        <v>818</v>
      </c>
      <c r="H304" s="5">
        <v>45065</v>
      </c>
      <c r="I304" s="7">
        <f t="shared" si="4"/>
        <v>0</v>
      </c>
      <c r="J304" s="13" t="str" cm="1">
        <f t="array" ref="J304">_xlfn.IFS(I304=0, "Settled", I304&lt;=30, "1-30", I304&lt;=90, "31-90", I304&lt;=365, "91-365", I304&gt;365, "1 Year+")</f>
        <v>Settled</v>
      </c>
      <c r="K304" t="s">
        <v>819</v>
      </c>
      <c r="L304" s="3" cm="1">
        <f t="array" ref="L304">_xlfn.IFS(F304="AUD",E304*$V$2,F304="CAD",E304*$V$3,F304="EUR",E304*$V$4,F304="GBP",E304*$V$5,F304="USD",E304*$V$6)</f>
        <v>4147.0434999999998</v>
      </c>
      <c r="M304" s="3" cm="1">
        <f t="array" ref="M304">_xlfn.IFS(G304="Paid", L304, G304="Partial", L304*0.5, G304="Open", 0)</f>
        <v>4147.0434999999998</v>
      </c>
      <c r="N304" s="3" cm="1">
        <f t="array" ref="N304">_xlfn.IFS(G304="Open", L304, G304="Partial", L304*0.5, G304="Paid", 0)</f>
        <v>0</v>
      </c>
    </row>
    <row r="305" spans="1:14" x14ac:dyDescent="0.25">
      <c r="A305" t="s">
        <v>309</v>
      </c>
      <c r="B305" t="s">
        <v>810</v>
      </c>
      <c r="C305" s="5">
        <v>45504</v>
      </c>
      <c r="D305" s="5">
        <v>45534</v>
      </c>
      <c r="E305" s="3">
        <v>1886.55</v>
      </c>
      <c r="F305" t="s">
        <v>815</v>
      </c>
      <c r="G305" t="s">
        <v>817</v>
      </c>
      <c r="H305" s="5" t="s">
        <v>825</v>
      </c>
      <c r="I305" s="7">
        <f t="shared" si="4"/>
        <v>572</v>
      </c>
      <c r="J305" s="13" t="str" cm="1">
        <f t="array" ref="J305">_xlfn.IFS(I305=0, "Settled", I305&lt;=30, "1-30", I305&lt;=90, "31-90", I305&lt;=365, "91-365", I305&gt;365, "1 Year+")</f>
        <v>1 Year+</v>
      </c>
      <c r="K305" t="s">
        <v>819</v>
      </c>
      <c r="L305" s="3" cm="1">
        <f t="array" ref="L305">_xlfn.IFS(F305="AUD",E305*$V$2,F305="CAD",E305*$V$3,F305="EUR",E305*$V$4,F305="GBP",E305*$V$5,F305="USD",E305*$V$6)</f>
        <v>2735.4974999999999</v>
      </c>
      <c r="M305" s="3" cm="1">
        <f t="array" ref="M305">_xlfn.IFS(G305="Paid", L305, G305="Partial", L305*0.5, G305="Open", 0)</f>
        <v>1367.74875</v>
      </c>
      <c r="N305" s="3" cm="1">
        <f t="array" ref="N305">_xlfn.IFS(G305="Open", L305, G305="Partial", L305*0.5, G305="Paid", 0)</f>
        <v>1367.74875</v>
      </c>
    </row>
    <row r="306" spans="1:14" x14ac:dyDescent="0.25">
      <c r="A306" t="s">
        <v>310</v>
      </c>
      <c r="B306" t="s">
        <v>806</v>
      </c>
      <c r="C306" s="5">
        <v>45449</v>
      </c>
      <c r="D306" s="5">
        <v>45479</v>
      </c>
      <c r="E306" s="3">
        <v>4336.49</v>
      </c>
      <c r="F306" t="s">
        <v>815</v>
      </c>
      <c r="G306" t="s">
        <v>816</v>
      </c>
      <c r="H306" s="5" t="s">
        <v>825</v>
      </c>
      <c r="I306" s="7">
        <f t="shared" si="4"/>
        <v>627</v>
      </c>
      <c r="J306" s="13" t="str" cm="1">
        <f t="array" ref="J306">_xlfn.IFS(I306=0, "Settled", I306&lt;=30, "1-30", I306&lt;=90, "31-90", I306&lt;=365, "91-365", I306&gt;365, "1 Year+")</f>
        <v>1 Year+</v>
      </c>
      <c r="K306" t="s">
        <v>819</v>
      </c>
      <c r="L306" s="3" cm="1">
        <f t="array" ref="L306">_xlfn.IFS(F306="AUD",E306*$V$2,F306="CAD",E306*$V$3,F306="EUR",E306*$V$4,F306="GBP",E306*$V$5,F306="USD",E306*$V$6)</f>
        <v>6287.910499999999</v>
      </c>
      <c r="M306" s="3" cm="1">
        <f t="array" ref="M306">_xlfn.IFS(G306="Paid", L306, G306="Partial", L306*0.5, G306="Open", 0)</f>
        <v>0</v>
      </c>
      <c r="N306" s="3" cm="1">
        <f t="array" ref="N306">_xlfn.IFS(G306="Open", L306, G306="Partial", L306*0.5, G306="Paid", 0)</f>
        <v>6287.910499999999</v>
      </c>
    </row>
    <row r="307" spans="1:14" x14ac:dyDescent="0.25">
      <c r="A307" t="s">
        <v>311</v>
      </c>
      <c r="B307" t="s">
        <v>806</v>
      </c>
      <c r="C307" s="5">
        <v>45256</v>
      </c>
      <c r="D307" s="5">
        <v>45286</v>
      </c>
      <c r="E307" s="3">
        <v>4046.8</v>
      </c>
      <c r="F307" t="s">
        <v>814</v>
      </c>
      <c r="G307" t="s">
        <v>817</v>
      </c>
      <c r="H307" s="5" t="s">
        <v>825</v>
      </c>
      <c r="I307" s="7">
        <f t="shared" si="4"/>
        <v>820</v>
      </c>
      <c r="J307" s="13" t="str" cm="1">
        <f t="array" ref="J307">_xlfn.IFS(I307=0, "Settled", I307&lt;=30, "1-30", I307&lt;=90, "31-90", I307&lt;=365, "91-365", I307&gt;365, "1 Year+")</f>
        <v>1 Year+</v>
      </c>
      <c r="K307" t="s">
        <v>819</v>
      </c>
      <c r="L307" s="3" cm="1">
        <f t="array" ref="L307">_xlfn.IFS(F307="AUD",E307*$V$2,F307="CAD",E307*$V$3,F307="EUR",E307*$V$4,F307="GBP",E307*$V$5,F307="USD",E307*$V$6)</f>
        <v>4046.8</v>
      </c>
      <c r="M307" s="3" cm="1">
        <f t="array" ref="M307">_xlfn.IFS(G307="Paid", L307, G307="Partial", L307*0.5, G307="Open", 0)</f>
        <v>2023.4</v>
      </c>
      <c r="N307" s="3" cm="1">
        <f t="array" ref="N307">_xlfn.IFS(G307="Open", L307, G307="Partial", L307*0.5, G307="Paid", 0)</f>
        <v>2023.4</v>
      </c>
    </row>
    <row r="308" spans="1:14" x14ac:dyDescent="0.25">
      <c r="A308" t="s">
        <v>312</v>
      </c>
      <c r="B308" t="s">
        <v>806</v>
      </c>
      <c r="C308" s="5">
        <v>45787</v>
      </c>
      <c r="D308" s="5">
        <v>45817</v>
      </c>
      <c r="E308" s="3">
        <v>3387.6</v>
      </c>
      <c r="F308" t="s">
        <v>815</v>
      </c>
      <c r="G308" t="s">
        <v>818</v>
      </c>
      <c r="H308" s="5">
        <v>45817</v>
      </c>
      <c r="I308" s="7">
        <f t="shared" si="4"/>
        <v>0</v>
      </c>
      <c r="J308" s="13" t="str" cm="1">
        <f t="array" ref="J308">_xlfn.IFS(I308=0, "Settled", I308&lt;=30, "1-30", I308&lt;=90, "31-90", I308&lt;=365, "91-365", I308&gt;365, "1 Year+")</f>
        <v>Settled</v>
      </c>
      <c r="K308" t="s">
        <v>819</v>
      </c>
      <c r="L308" s="3" cm="1">
        <f t="array" ref="L308">_xlfn.IFS(F308="AUD",E308*$V$2,F308="CAD",E308*$V$3,F308="EUR",E308*$V$4,F308="GBP",E308*$V$5,F308="USD",E308*$V$6)</f>
        <v>4912.0199999999995</v>
      </c>
      <c r="M308" s="3" cm="1">
        <f t="array" ref="M308">_xlfn.IFS(G308="Paid", L308, G308="Partial", L308*0.5, G308="Open", 0)</f>
        <v>4912.0199999999995</v>
      </c>
      <c r="N308" s="3" cm="1">
        <f t="array" ref="N308">_xlfn.IFS(G308="Open", L308, G308="Partial", L308*0.5, G308="Paid", 0)</f>
        <v>0</v>
      </c>
    </row>
    <row r="309" spans="1:14" x14ac:dyDescent="0.25">
      <c r="A309" t="s">
        <v>313</v>
      </c>
      <c r="B309" t="s">
        <v>809</v>
      </c>
      <c r="C309" s="5">
        <v>45679</v>
      </c>
      <c r="D309" s="5">
        <v>45709</v>
      </c>
      <c r="E309" s="3">
        <v>4207.8599999999997</v>
      </c>
      <c r="F309" t="s">
        <v>811</v>
      </c>
      <c r="G309" t="s">
        <v>816</v>
      </c>
      <c r="H309" s="5" t="s">
        <v>825</v>
      </c>
      <c r="I309" s="7">
        <f t="shared" si="4"/>
        <v>397</v>
      </c>
      <c r="J309" s="13" t="str" cm="1">
        <f t="array" ref="J309">_xlfn.IFS(I309=0, "Settled", I309&lt;=30, "1-30", I309&lt;=90, "31-90", I309&lt;=365, "91-365", I309&gt;365, "1 Year+")</f>
        <v>1 Year+</v>
      </c>
      <c r="K309" t="s">
        <v>819</v>
      </c>
      <c r="L309" s="3" cm="1">
        <f t="array" ref="L309">_xlfn.IFS(F309="AUD",E309*$V$2,F309="CAD",E309*$V$3,F309="EUR",E309*$V$4,F309="GBP",E309*$V$5,F309="USD",E309*$V$6)</f>
        <v>3618.7595999999999</v>
      </c>
      <c r="M309" s="3" cm="1">
        <f t="array" ref="M309">_xlfn.IFS(G309="Paid", L309, G309="Partial", L309*0.5, G309="Open", 0)</f>
        <v>0</v>
      </c>
      <c r="N309" s="3" cm="1">
        <f t="array" ref="N309">_xlfn.IFS(G309="Open", L309, G309="Partial", L309*0.5, G309="Paid", 0)</f>
        <v>3618.7595999999999</v>
      </c>
    </row>
    <row r="310" spans="1:14" x14ac:dyDescent="0.25">
      <c r="A310" t="s">
        <v>314</v>
      </c>
      <c r="B310" t="s">
        <v>810</v>
      </c>
      <c r="C310" s="5">
        <v>45320</v>
      </c>
      <c r="D310" s="5">
        <v>45350</v>
      </c>
      <c r="E310" s="3">
        <v>2784.29</v>
      </c>
      <c r="F310" t="s">
        <v>812</v>
      </c>
      <c r="G310" t="s">
        <v>816</v>
      </c>
      <c r="H310" s="5" t="s">
        <v>825</v>
      </c>
      <c r="I310" s="7">
        <f t="shared" si="4"/>
        <v>756</v>
      </c>
      <c r="J310" s="13" t="str" cm="1">
        <f t="array" ref="J310">_xlfn.IFS(I310=0, "Settled", I310&lt;=30, "1-30", I310&lt;=90, "31-90", I310&lt;=365, "91-365", I310&gt;365, "1 Year+")</f>
        <v>1 Year+</v>
      </c>
      <c r="K310" t="s">
        <v>819</v>
      </c>
      <c r="L310" s="3" cm="1">
        <f t="array" ref="L310">_xlfn.IFS(F310="AUD",E310*$V$2,F310="CAD",E310*$V$3,F310="EUR",E310*$V$4,F310="GBP",E310*$V$5,F310="USD",E310*$V$6)</f>
        <v>3842.3201999999997</v>
      </c>
      <c r="M310" s="3" cm="1">
        <f t="array" ref="M310">_xlfn.IFS(G310="Paid", L310, G310="Partial", L310*0.5, G310="Open", 0)</f>
        <v>0</v>
      </c>
      <c r="N310" s="3" cm="1">
        <f t="array" ref="N310">_xlfn.IFS(G310="Open", L310, G310="Partial", L310*0.5, G310="Paid", 0)</f>
        <v>3842.3201999999997</v>
      </c>
    </row>
    <row r="311" spans="1:14" x14ac:dyDescent="0.25">
      <c r="A311" t="s">
        <v>315</v>
      </c>
      <c r="B311" t="s">
        <v>810</v>
      </c>
      <c r="C311" s="5">
        <v>45576</v>
      </c>
      <c r="D311" s="5">
        <v>45606</v>
      </c>
      <c r="E311" s="3">
        <v>2721.22</v>
      </c>
      <c r="F311" t="s">
        <v>813</v>
      </c>
      <c r="G311" t="s">
        <v>817</v>
      </c>
      <c r="H311" s="5" t="s">
        <v>825</v>
      </c>
      <c r="I311" s="7">
        <f t="shared" si="4"/>
        <v>500</v>
      </c>
      <c r="J311" s="13" t="str" cm="1">
        <f t="array" ref="J311">_xlfn.IFS(I311=0, "Settled", I311&lt;=30, "1-30", I311&lt;=90, "31-90", I311&lt;=365, "91-365", I311&gt;365, "1 Year+")</f>
        <v>1 Year+</v>
      </c>
      <c r="K311" t="s">
        <v>819</v>
      </c>
      <c r="L311" s="3" cm="1">
        <f t="array" ref="L311">_xlfn.IFS(F311="AUD",E311*$V$2,F311="CAD",E311*$V$3,F311="EUR",E311*$V$4,F311="GBP",E311*$V$5,F311="USD",E311*$V$6)</f>
        <v>2040.915</v>
      </c>
      <c r="M311" s="3" cm="1">
        <f t="array" ref="M311">_xlfn.IFS(G311="Paid", L311, G311="Partial", L311*0.5, G311="Open", 0)</f>
        <v>1020.4575</v>
      </c>
      <c r="N311" s="3" cm="1">
        <f t="array" ref="N311">_xlfn.IFS(G311="Open", L311, G311="Partial", L311*0.5, G311="Paid", 0)</f>
        <v>1020.4575</v>
      </c>
    </row>
    <row r="312" spans="1:14" x14ac:dyDescent="0.25">
      <c r="A312" t="s">
        <v>316</v>
      </c>
      <c r="B312" t="s">
        <v>807</v>
      </c>
      <c r="C312" s="5">
        <v>44993</v>
      </c>
      <c r="D312" s="5">
        <v>45023</v>
      </c>
      <c r="E312" s="3">
        <v>1741.36</v>
      </c>
      <c r="F312" t="s">
        <v>812</v>
      </c>
      <c r="G312" t="s">
        <v>817</v>
      </c>
      <c r="H312" s="5" t="s">
        <v>825</v>
      </c>
      <c r="I312" s="7">
        <f t="shared" si="4"/>
        <v>1083</v>
      </c>
      <c r="J312" s="13" t="str" cm="1">
        <f t="array" ref="J312">_xlfn.IFS(I312=0, "Settled", I312&lt;=30, "1-30", I312&lt;=90, "31-90", I312&lt;=365, "91-365", I312&gt;365, "1 Year+")</f>
        <v>1 Year+</v>
      </c>
      <c r="K312" t="s">
        <v>819</v>
      </c>
      <c r="L312" s="3" cm="1">
        <f t="array" ref="L312">_xlfn.IFS(F312="AUD",E312*$V$2,F312="CAD",E312*$V$3,F312="EUR",E312*$V$4,F312="GBP",E312*$V$5,F312="USD",E312*$V$6)</f>
        <v>2403.0767999999998</v>
      </c>
      <c r="M312" s="3" cm="1">
        <f t="array" ref="M312">_xlfn.IFS(G312="Paid", L312, G312="Partial", L312*0.5, G312="Open", 0)</f>
        <v>1201.5383999999999</v>
      </c>
      <c r="N312" s="3" cm="1">
        <f t="array" ref="N312">_xlfn.IFS(G312="Open", L312, G312="Partial", L312*0.5, G312="Paid", 0)</f>
        <v>1201.5383999999999</v>
      </c>
    </row>
    <row r="313" spans="1:14" x14ac:dyDescent="0.25">
      <c r="A313" t="s">
        <v>317</v>
      </c>
      <c r="B313" t="s">
        <v>810</v>
      </c>
      <c r="C313" s="5">
        <v>45465</v>
      </c>
      <c r="D313" s="5">
        <v>45495</v>
      </c>
      <c r="E313" s="3">
        <v>4981.4399999999996</v>
      </c>
      <c r="F313" t="s">
        <v>814</v>
      </c>
      <c r="G313" t="s">
        <v>818</v>
      </c>
      <c r="H313" s="5">
        <v>45495</v>
      </c>
      <c r="I313" s="7">
        <f t="shared" si="4"/>
        <v>0</v>
      </c>
      <c r="J313" s="13" t="str" cm="1">
        <f t="array" ref="J313">_xlfn.IFS(I313=0, "Settled", I313&lt;=30, "1-30", I313&lt;=90, "31-90", I313&lt;=365, "91-365", I313&gt;365, "1 Year+")</f>
        <v>Settled</v>
      </c>
      <c r="K313" t="s">
        <v>819</v>
      </c>
      <c r="L313" s="3" cm="1">
        <f t="array" ref="L313">_xlfn.IFS(F313="AUD",E313*$V$2,F313="CAD",E313*$V$3,F313="EUR",E313*$V$4,F313="GBP",E313*$V$5,F313="USD",E313*$V$6)</f>
        <v>4981.4399999999996</v>
      </c>
      <c r="M313" s="3" cm="1">
        <f t="array" ref="M313">_xlfn.IFS(G313="Paid", L313, G313="Partial", L313*0.5, G313="Open", 0)</f>
        <v>4981.4399999999996</v>
      </c>
      <c r="N313" s="3" cm="1">
        <f t="array" ref="N313">_xlfn.IFS(G313="Open", L313, G313="Partial", L313*0.5, G313="Paid", 0)</f>
        <v>0</v>
      </c>
    </row>
    <row r="314" spans="1:14" x14ac:dyDescent="0.25">
      <c r="A314" t="s">
        <v>318</v>
      </c>
      <c r="B314" t="s">
        <v>808</v>
      </c>
      <c r="C314" s="5">
        <v>45062</v>
      </c>
      <c r="D314" s="5">
        <v>45092</v>
      </c>
      <c r="E314" s="3">
        <v>2244.6799999999998</v>
      </c>
      <c r="F314" t="s">
        <v>811</v>
      </c>
      <c r="G314" t="s">
        <v>816</v>
      </c>
      <c r="H314" s="5" t="s">
        <v>825</v>
      </c>
      <c r="I314" s="7">
        <f t="shared" si="4"/>
        <v>1014</v>
      </c>
      <c r="J314" s="13" t="str" cm="1">
        <f t="array" ref="J314">_xlfn.IFS(I314=0, "Settled", I314&lt;=30, "1-30", I314&lt;=90, "31-90", I314&lt;=365, "91-365", I314&gt;365, "1 Year+")</f>
        <v>1 Year+</v>
      </c>
      <c r="K314" t="s">
        <v>819</v>
      </c>
      <c r="L314" s="3" cm="1">
        <f t="array" ref="L314">_xlfn.IFS(F314="AUD",E314*$V$2,F314="CAD",E314*$V$3,F314="EUR",E314*$V$4,F314="GBP",E314*$V$5,F314="USD",E314*$V$6)</f>
        <v>1930.4247999999998</v>
      </c>
      <c r="M314" s="3" cm="1">
        <f t="array" ref="M314">_xlfn.IFS(G314="Paid", L314, G314="Partial", L314*0.5, G314="Open", 0)</f>
        <v>0</v>
      </c>
      <c r="N314" s="3" cm="1">
        <f t="array" ref="N314">_xlfn.IFS(G314="Open", L314, G314="Partial", L314*0.5, G314="Paid", 0)</f>
        <v>1930.4247999999998</v>
      </c>
    </row>
    <row r="315" spans="1:14" x14ac:dyDescent="0.25">
      <c r="A315" t="s">
        <v>319</v>
      </c>
      <c r="B315" t="s">
        <v>806</v>
      </c>
      <c r="C315" s="5">
        <v>45567</v>
      </c>
      <c r="D315" s="5">
        <v>45597</v>
      </c>
      <c r="E315" s="3">
        <v>660.06</v>
      </c>
      <c r="F315" t="s">
        <v>815</v>
      </c>
      <c r="G315" t="s">
        <v>818</v>
      </c>
      <c r="H315" s="5">
        <v>45597</v>
      </c>
      <c r="I315" s="7">
        <f t="shared" si="4"/>
        <v>0</v>
      </c>
      <c r="J315" s="13" t="str" cm="1">
        <f t="array" ref="J315">_xlfn.IFS(I315=0, "Settled", I315&lt;=30, "1-30", I315&lt;=90, "31-90", I315&lt;=365, "91-365", I315&gt;365, "1 Year+")</f>
        <v>Settled</v>
      </c>
      <c r="K315" t="s">
        <v>819</v>
      </c>
      <c r="L315" s="3" cm="1">
        <f t="array" ref="L315">_xlfn.IFS(F315="AUD",E315*$V$2,F315="CAD",E315*$V$3,F315="EUR",E315*$V$4,F315="GBP",E315*$V$5,F315="USD",E315*$V$6)</f>
        <v>957.08699999999988</v>
      </c>
      <c r="M315" s="3" cm="1">
        <f t="array" ref="M315">_xlfn.IFS(G315="Paid", L315, G315="Partial", L315*0.5, G315="Open", 0)</f>
        <v>957.08699999999988</v>
      </c>
      <c r="N315" s="3" cm="1">
        <f t="array" ref="N315">_xlfn.IFS(G315="Open", L315, G315="Partial", L315*0.5, G315="Paid", 0)</f>
        <v>0</v>
      </c>
    </row>
    <row r="316" spans="1:14" x14ac:dyDescent="0.25">
      <c r="A316" t="s">
        <v>320</v>
      </c>
      <c r="B316" t="s">
        <v>809</v>
      </c>
      <c r="C316" s="5">
        <v>45722</v>
      </c>
      <c r="D316" s="5">
        <v>45752</v>
      </c>
      <c r="E316" s="3">
        <v>2932.27</v>
      </c>
      <c r="F316" t="s">
        <v>815</v>
      </c>
      <c r="G316" t="s">
        <v>818</v>
      </c>
      <c r="H316" s="5">
        <v>45752</v>
      </c>
      <c r="I316" s="7">
        <f t="shared" si="4"/>
        <v>0</v>
      </c>
      <c r="J316" s="13" t="str" cm="1">
        <f t="array" ref="J316">_xlfn.IFS(I316=0, "Settled", I316&lt;=30, "1-30", I316&lt;=90, "31-90", I316&lt;=365, "91-365", I316&gt;365, "1 Year+")</f>
        <v>Settled</v>
      </c>
      <c r="K316" t="s">
        <v>819</v>
      </c>
      <c r="L316" s="3" cm="1">
        <f t="array" ref="L316">_xlfn.IFS(F316="AUD",E316*$V$2,F316="CAD",E316*$V$3,F316="EUR",E316*$V$4,F316="GBP",E316*$V$5,F316="USD",E316*$V$6)</f>
        <v>4251.7915000000003</v>
      </c>
      <c r="M316" s="3" cm="1">
        <f t="array" ref="M316">_xlfn.IFS(G316="Paid", L316, G316="Partial", L316*0.5, G316="Open", 0)</f>
        <v>4251.7915000000003</v>
      </c>
      <c r="N316" s="3" cm="1">
        <f t="array" ref="N316">_xlfn.IFS(G316="Open", L316, G316="Partial", L316*0.5, G316="Paid", 0)</f>
        <v>0</v>
      </c>
    </row>
    <row r="317" spans="1:14" x14ac:dyDescent="0.25">
      <c r="A317" t="s">
        <v>321</v>
      </c>
      <c r="B317" t="s">
        <v>809</v>
      </c>
      <c r="C317" s="5">
        <v>45511</v>
      </c>
      <c r="D317" s="5">
        <v>45541</v>
      </c>
      <c r="E317" s="3">
        <v>451.25</v>
      </c>
      <c r="F317" t="s">
        <v>813</v>
      </c>
      <c r="G317" t="s">
        <v>816</v>
      </c>
      <c r="H317" s="5" t="s">
        <v>825</v>
      </c>
      <c r="I317" s="7">
        <f t="shared" si="4"/>
        <v>565</v>
      </c>
      <c r="J317" s="13" t="str" cm="1">
        <f t="array" ref="J317">_xlfn.IFS(I317=0, "Settled", I317&lt;=30, "1-30", I317&lt;=90, "31-90", I317&lt;=365, "91-365", I317&gt;365, "1 Year+")</f>
        <v>1 Year+</v>
      </c>
      <c r="K317" t="s">
        <v>819</v>
      </c>
      <c r="L317" s="3" cm="1">
        <f t="array" ref="L317">_xlfn.IFS(F317="AUD",E317*$V$2,F317="CAD",E317*$V$3,F317="EUR",E317*$V$4,F317="GBP",E317*$V$5,F317="USD",E317*$V$6)</f>
        <v>338.4375</v>
      </c>
      <c r="M317" s="3" cm="1">
        <f t="array" ref="M317">_xlfn.IFS(G317="Paid", L317, G317="Partial", L317*0.5, G317="Open", 0)</f>
        <v>0</v>
      </c>
      <c r="N317" s="3" cm="1">
        <f t="array" ref="N317">_xlfn.IFS(G317="Open", L317, G317="Partial", L317*0.5, G317="Paid", 0)</f>
        <v>338.4375</v>
      </c>
    </row>
    <row r="318" spans="1:14" x14ac:dyDescent="0.25">
      <c r="A318" t="s">
        <v>322</v>
      </c>
      <c r="B318" t="s">
        <v>807</v>
      </c>
      <c r="C318" s="5">
        <v>45838</v>
      </c>
      <c r="D318" s="5">
        <v>45868</v>
      </c>
      <c r="E318" s="3">
        <v>2665.5</v>
      </c>
      <c r="F318" t="s">
        <v>812</v>
      </c>
      <c r="G318" t="s">
        <v>817</v>
      </c>
      <c r="H318" s="5" t="s">
        <v>825</v>
      </c>
      <c r="I318" s="7">
        <f t="shared" si="4"/>
        <v>238</v>
      </c>
      <c r="J318" s="13" t="str" cm="1">
        <f t="array" ref="J318">_xlfn.IFS(I318=0, "Settled", I318&lt;=30, "1-30", I318&lt;=90, "31-90", I318&lt;=365, "91-365", I318&gt;365, "1 Year+")</f>
        <v>91-365</v>
      </c>
      <c r="K318" t="s">
        <v>819</v>
      </c>
      <c r="L318" s="3" cm="1">
        <f t="array" ref="L318">_xlfn.IFS(F318="AUD",E318*$V$2,F318="CAD",E318*$V$3,F318="EUR",E318*$V$4,F318="GBP",E318*$V$5,F318="USD",E318*$V$6)</f>
        <v>3678.39</v>
      </c>
      <c r="M318" s="3" cm="1">
        <f t="array" ref="M318">_xlfn.IFS(G318="Paid", L318, G318="Partial", L318*0.5, G318="Open", 0)</f>
        <v>1839.1949999999999</v>
      </c>
      <c r="N318" s="3" cm="1">
        <f t="array" ref="N318">_xlfn.IFS(G318="Open", L318, G318="Partial", L318*0.5, G318="Paid", 0)</f>
        <v>1839.1949999999999</v>
      </c>
    </row>
    <row r="319" spans="1:14" x14ac:dyDescent="0.25">
      <c r="A319" t="s">
        <v>323</v>
      </c>
      <c r="B319" t="s">
        <v>806</v>
      </c>
      <c r="C319" s="5">
        <v>45707</v>
      </c>
      <c r="D319" s="5">
        <v>45737</v>
      </c>
      <c r="E319" s="3">
        <v>1471.82</v>
      </c>
      <c r="F319" t="s">
        <v>814</v>
      </c>
      <c r="G319" t="s">
        <v>816</v>
      </c>
      <c r="H319" s="5" t="s">
        <v>825</v>
      </c>
      <c r="I319" s="7">
        <f t="shared" si="4"/>
        <v>369</v>
      </c>
      <c r="J319" s="13" t="str" cm="1">
        <f t="array" ref="J319">_xlfn.IFS(I319=0, "Settled", I319&lt;=30, "1-30", I319&lt;=90, "31-90", I319&lt;=365, "91-365", I319&gt;365, "1 Year+")</f>
        <v>1 Year+</v>
      </c>
      <c r="K319" t="s">
        <v>819</v>
      </c>
      <c r="L319" s="3" cm="1">
        <f t="array" ref="L319">_xlfn.IFS(F319="AUD",E319*$V$2,F319="CAD",E319*$V$3,F319="EUR",E319*$V$4,F319="GBP",E319*$V$5,F319="USD",E319*$V$6)</f>
        <v>1471.82</v>
      </c>
      <c r="M319" s="3" cm="1">
        <f t="array" ref="M319">_xlfn.IFS(G319="Paid", L319, G319="Partial", L319*0.5, G319="Open", 0)</f>
        <v>0</v>
      </c>
      <c r="N319" s="3" cm="1">
        <f t="array" ref="N319">_xlfn.IFS(G319="Open", L319, G319="Partial", L319*0.5, G319="Paid", 0)</f>
        <v>1471.82</v>
      </c>
    </row>
    <row r="320" spans="1:14" x14ac:dyDescent="0.25">
      <c r="A320" t="s">
        <v>324</v>
      </c>
      <c r="B320" t="s">
        <v>808</v>
      </c>
      <c r="C320" s="5">
        <v>45391</v>
      </c>
      <c r="D320" s="5">
        <v>45421</v>
      </c>
      <c r="E320" s="3">
        <v>1830.02</v>
      </c>
      <c r="F320" t="s">
        <v>813</v>
      </c>
      <c r="G320" t="s">
        <v>818</v>
      </c>
      <c r="H320" s="5">
        <v>45421</v>
      </c>
      <c r="I320" s="7">
        <f t="shared" si="4"/>
        <v>0</v>
      </c>
      <c r="J320" s="13" t="str" cm="1">
        <f t="array" ref="J320">_xlfn.IFS(I320=0, "Settled", I320&lt;=30, "1-30", I320&lt;=90, "31-90", I320&lt;=365, "91-365", I320&gt;365, "1 Year+")</f>
        <v>Settled</v>
      </c>
      <c r="K320" t="s">
        <v>819</v>
      </c>
      <c r="L320" s="3" cm="1">
        <f t="array" ref="L320">_xlfn.IFS(F320="AUD",E320*$V$2,F320="CAD",E320*$V$3,F320="EUR",E320*$V$4,F320="GBP",E320*$V$5,F320="USD",E320*$V$6)</f>
        <v>1372.5149999999999</v>
      </c>
      <c r="M320" s="3" cm="1">
        <f t="array" ref="M320">_xlfn.IFS(G320="Paid", L320, G320="Partial", L320*0.5, G320="Open", 0)</f>
        <v>1372.5149999999999</v>
      </c>
      <c r="N320" s="3" cm="1">
        <f t="array" ref="N320">_xlfn.IFS(G320="Open", L320, G320="Partial", L320*0.5, G320="Paid", 0)</f>
        <v>0</v>
      </c>
    </row>
    <row r="321" spans="1:14" x14ac:dyDescent="0.25">
      <c r="A321" t="s">
        <v>325</v>
      </c>
      <c r="B321" t="s">
        <v>808</v>
      </c>
      <c r="C321" s="5">
        <v>44979</v>
      </c>
      <c r="D321" s="5">
        <v>45009</v>
      </c>
      <c r="E321" s="3">
        <v>4995.3900000000003</v>
      </c>
      <c r="F321" t="s">
        <v>812</v>
      </c>
      <c r="G321" t="s">
        <v>817</v>
      </c>
      <c r="H321" s="5" t="s">
        <v>825</v>
      </c>
      <c r="I321" s="7">
        <f t="shared" si="4"/>
        <v>1097</v>
      </c>
      <c r="J321" s="13" t="str" cm="1">
        <f t="array" ref="J321">_xlfn.IFS(I321=0, "Settled", I321&lt;=30, "1-30", I321&lt;=90, "31-90", I321&lt;=365, "91-365", I321&gt;365, "1 Year+")</f>
        <v>1 Year+</v>
      </c>
      <c r="K321" t="s">
        <v>819</v>
      </c>
      <c r="L321" s="3" cm="1">
        <f t="array" ref="L321">_xlfn.IFS(F321="AUD",E321*$V$2,F321="CAD",E321*$V$3,F321="EUR",E321*$V$4,F321="GBP",E321*$V$5,F321="USD",E321*$V$6)</f>
        <v>6893.6382000000003</v>
      </c>
      <c r="M321" s="3" cm="1">
        <f t="array" ref="M321">_xlfn.IFS(G321="Paid", L321, G321="Partial", L321*0.5, G321="Open", 0)</f>
        <v>3446.8191000000002</v>
      </c>
      <c r="N321" s="3" cm="1">
        <f t="array" ref="N321">_xlfn.IFS(G321="Open", L321, G321="Partial", L321*0.5, G321="Paid", 0)</f>
        <v>3446.8191000000002</v>
      </c>
    </row>
    <row r="322" spans="1:14" x14ac:dyDescent="0.25">
      <c r="A322" t="s">
        <v>326</v>
      </c>
      <c r="B322" t="s">
        <v>808</v>
      </c>
      <c r="C322" s="5">
        <v>45068</v>
      </c>
      <c r="D322" s="5">
        <v>45098</v>
      </c>
      <c r="E322" s="3">
        <v>4822.93</v>
      </c>
      <c r="F322" t="s">
        <v>815</v>
      </c>
      <c r="G322" t="s">
        <v>817</v>
      </c>
      <c r="H322" s="5" t="s">
        <v>825</v>
      </c>
      <c r="I322" s="7">
        <f t="shared" si="4"/>
        <v>1008</v>
      </c>
      <c r="J322" s="13" t="str" cm="1">
        <f t="array" ref="J322">_xlfn.IFS(I322=0, "Settled", I322&lt;=30, "1-30", I322&lt;=90, "31-90", I322&lt;=365, "91-365", I322&gt;365, "1 Year+")</f>
        <v>1 Year+</v>
      </c>
      <c r="K322" t="s">
        <v>819</v>
      </c>
      <c r="L322" s="3" cm="1">
        <f t="array" ref="L322">_xlfn.IFS(F322="AUD",E322*$V$2,F322="CAD",E322*$V$3,F322="EUR",E322*$V$4,F322="GBP",E322*$V$5,F322="USD",E322*$V$6)</f>
        <v>6993.2485000000006</v>
      </c>
      <c r="M322" s="3" cm="1">
        <f t="array" ref="M322">_xlfn.IFS(G322="Paid", L322, G322="Partial", L322*0.5, G322="Open", 0)</f>
        <v>3496.6242500000003</v>
      </c>
      <c r="N322" s="3" cm="1">
        <f t="array" ref="N322">_xlfn.IFS(G322="Open", L322, G322="Partial", L322*0.5, G322="Paid", 0)</f>
        <v>3496.6242500000003</v>
      </c>
    </row>
    <row r="323" spans="1:14" x14ac:dyDescent="0.25">
      <c r="A323" t="s">
        <v>327</v>
      </c>
      <c r="B323" t="s">
        <v>806</v>
      </c>
      <c r="C323" s="5">
        <v>44928</v>
      </c>
      <c r="D323" s="5">
        <v>44958</v>
      </c>
      <c r="E323" s="3">
        <v>1174.97</v>
      </c>
      <c r="F323" t="s">
        <v>814</v>
      </c>
      <c r="G323" t="s">
        <v>818</v>
      </c>
      <c r="H323" s="5">
        <v>44958</v>
      </c>
      <c r="I323" s="7">
        <f t="shared" ref="I323:I386" si="5">IF(G323="Paid",0,DATE(2026,3,25)-D323)</f>
        <v>0</v>
      </c>
      <c r="J323" s="13" t="str" cm="1">
        <f t="array" ref="J323">_xlfn.IFS(I323=0, "Settled", I323&lt;=30, "1-30", I323&lt;=90, "31-90", I323&lt;=365, "91-365", I323&gt;365, "1 Year+")</f>
        <v>Settled</v>
      </c>
      <c r="K323" t="s">
        <v>819</v>
      </c>
      <c r="L323" s="3" cm="1">
        <f t="array" ref="L323">_xlfn.IFS(F323="AUD",E323*$V$2,F323="CAD",E323*$V$3,F323="EUR",E323*$V$4,F323="GBP",E323*$V$5,F323="USD",E323*$V$6)</f>
        <v>1174.97</v>
      </c>
      <c r="M323" s="3" cm="1">
        <f t="array" ref="M323">_xlfn.IFS(G323="Paid", L323, G323="Partial", L323*0.5, G323="Open", 0)</f>
        <v>1174.97</v>
      </c>
      <c r="N323" s="3" cm="1">
        <f t="array" ref="N323">_xlfn.IFS(G323="Open", L323, G323="Partial", L323*0.5, G323="Paid", 0)</f>
        <v>0</v>
      </c>
    </row>
    <row r="324" spans="1:14" x14ac:dyDescent="0.25">
      <c r="A324" t="s">
        <v>328</v>
      </c>
      <c r="B324" t="s">
        <v>809</v>
      </c>
      <c r="C324" s="5">
        <v>45387</v>
      </c>
      <c r="D324" s="5">
        <v>45417</v>
      </c>
      <c r="E324" s="3">
        <v>1018.67</v>
      </c>
      <c r="F324" t="s">
        <v>811</v>
      </c>
      <c r="G324" t="s">
        <v>817</v>
      </c>
      <c r="H324" s="5" t="s">
        <v>825</v>
      </c>
      <c r="I324" s="7">
        <f t="shared" si="5"/>
        <v>689</v>
      </c>
      <c r="J324" s="13" t="str" cm="1">
        <f t="array" ref="J324">_xlfn.IFS(I324=0, "Settled", I324&lt;=30, "1-30", I324&lt;=90, "31-90", I324&lt;=365, "91-365", I324&gt;365, "1 Year+")</f>
        <v>1 Year+</v>
      </c>
      <c r="K324" t="s">
        <v>819</v>
      </c>
      <c r="L324" s="3" cm="1">
        <f t="array" ref="L324">_xlfn.IFS(F324="AUD",E324*$V$2,F324="CAD",E324*$V$3,F324="EUR",E324*$V$4,F324="GBP",E324*$V$5,F324="USD",E324*$V$6)</f>
        <v>876.05619999999999</v>
      </c>
      <c r="M324" s="3" cm="1">
        <f t="array" ref="M324">_xlfn.IFS(G324="Paid", L324, G324="Partial", L324*0.5, G324="Open", 0)</f>
        <v>438.02809999999999</v>
      </c>
      <c r="N324" s="3" cm="1">
        <f t="array" ref="N324">_xlfn.IFS(G324="Open", L324, G324="Partial", L324*0.5, G324="Paid", 0)</f>
        <v>438.02809999999999</v>
      </c>
    </row>
    <row r="325" spans="1:14" x14ac:dyDescent="0.25">
      <c r="A325" t="s">
        <v>329</v>
      </c>
      <c r="B325" t="s">
        <v>810</v>
      </c>
      <c r="C325" s="5">
        <v>45528</v>
      </c>
      <c r="D325" s="5">
        <v>45558</v>
      </c>
      <c r="E325" s="3">
        <v>525.23</v>
      </c>
      <c r="F325" t="s">
        <v>815</v>
      </c>
      <c r="G325" t="s">
        <v>816</v>
      </c>
      <c r="H325" s="5" t="s">
        <v>825</v>
      </c>
      <c r="I325" s="7">
        <f t="shared" si="5"/>
        <v>548</v>
      </c>
      <c r="J325" s="13" t="str" cm="1">
        <f t="array" ref="J325">_xlfn.IFS(I325=0, "Settled", I325&lt;=30, "1-30", I325&lt;=90, "31-90", I325&lt;=365, "91-365", I325&gt;365, "1 Year+")</f>
        <v>1 Year+</v>
      </c>
      <c r="K325" t="s">
        <v>819</v>
      </c>
      <c r="L325" s="3" cm="1">
        <f t="array" ref="L325">_xlfn.IFS(F325="AUD",E325*$V$2,F325="CAD",E325*$V$3,F325="EUR",E325*$V$4,F325="GBP",E325*$V$5,F325="USD",E325*$V$6)</f>
        <v>761.58349999999996</v>
      </c>
      <c r="M325" s="3" cm="1">
        <f t="array" ref="M325">_xlfn.IFS(G325="Paid", L325, G325="Partial", L325*0.5, G325="Open", 0)</f>
        <v>0</v>
      </c>
      <c r="N325" s="3" cm="1">
        <f t="array" ref="N325">_xlfn.IFS(G325="Open", L325, G325="Partial", L325*0.5, G325="Paid", 0)</f>
        <v>761.58349999999996</v>
      </c>
    </row>
    <row r="326" spans="1:14" x14ac:dyDescent="0.25">
      <c r="A326" t="s">
        <v>330</v>
      </c>
      <c r="B326" t="s">
        <v>810</v>
      </c>
      <c r="C326" s="5">
        <v>45014</v>
      </c>
      <c r="D326" s="5">
        <v>45044</v>
      </c>
      <c r="E326" s="3">
        <v>4607.07</v>
      </c>
      <c r="F326" t="s">
        <v>814</v>
      </c>
      <c r="G326" t="s">
        <v>816</v>
      </c>
      <c r="H326" s="5" t="s">
        <v>825</v>
      </c>
      <c r="I326" s="7">
        <f t="shared" si="5"/>
        <v>1062</v>
      </c>
      <c r="J326" s="13" t="str" cm="1">
        <f t="array" ref="J326">_xlfn.IFS(I326=0, "Settled", I326&lt;=30, "1-30", I326&lt;=90, "31-90", I326&lt;=365, "91-365", I326&gt;365, "1 Year+")</f>
        <v>1 Year+</v>
      </c>
      <c r="K326" t="s">
        <v>819</v>
      </c>
      <c r="L326" s="3" cm="1">
        <f t="array" ref="L326">_xlfn.IFS(F326="AUD",E326*$V$2,F326="CAD",E326*$V$3,F326="EUR",E326*$V$4,F326="GBP",E326*$V$5,F326="USD",E326*$V$6)</f>
        <v>4607.07</v>
      </c>
      <c r="M326" s="3" cm="1">
        <f t="array" ref="M326">_xlfn.IFS(G326="Paid", L326, G326="Partial", L326*0.5, G326="Open", 0)</f>
        <v>0</v>
      </c>
      <c r="N326" s="3" cm="1">
        <f t="array" ref="N326">_xlfn.IFS(G326="Open", L326, G326="Partial", L326*0.5, G326="Paid", 0)</f>
        <v>4607.07</v>
      </c>
    </row>
    <row r="327" spans="1:14" x14ac:dyDescent="0.25">
      <c r="A327" t="s">
        <v>331</v>
      </c>
      <c r="B327" t="s">
        <v>806</v>
      </c>
      <c r="C327" s="5">
        <v>45054</v>
      </c>
      <c r="D327" s="5">
        <v>45084</v>
      </c>
      <c r="E327" s="3">
        <v>2792.15</v>
      </c>
      <c r="F327" t="s">
        <v>812</v>
      </c>
      <c r="G327" t="s">
        <v>818</v>
      </c>
      <c r="H327" s="5">
        <v>45084</v>
      </c>
      <c r="I327" s="7">
        <f t="shared" si="5"/>
        <v>0</v>
      </c>
      <c r="J327" s="13" t="str" cm="1">
        <f t="array" ref="J327">_xlfn.IFS(I327=0, "Settled", I327&lt;=30, "1-30", I327&lt;=90, "31-90", I327&lt;=365, "91-365", I327&gt;365, "1 Year+")</f>
        <v>Settled</v>
      </c>
      <c r="K327" t="s">
        <v>819</v>
      </c>
      <c r="L327" s="3" cm="1">
        <f t="array" ref="L327">_xlfn.IFS(F327="AUD",E327*$V$2,F327="CAD",E327*$V$3,F327="EUR",E327*$V$4,F327="GBP",E327*$V$5,F327="USD",E327*$V$6)</f>
        <v>3853.1669999999999</v>
      </c>
      <c r="M327" s="3" cm="1">
        <f t="array" ref="M327">_xlfn.IFS(G327="Paid", L327, G327="Partial", L327*0.5, G327="Open", 0)</f>
        <v>3853.1669999999999</v>
      </c>
      <c r="N327" s="3" cm="1">
        <f t="array" ref="N327">_xlfn.IFS(G327="Open", L327, G327="Partial", L327*0.5, G327="Paid", 0)</f>
        <v>0</v>
      </c>
    </row>
    <row r="328" spans="1:14" x14ac:dyDescent="0.25">
      <c r="A328" t="s">
        <v>332</v>
      </c>
      <c r="B328" t="s">
        <v>806</v>
      </c>
      <c r="C328" s="5">
        <v>45511</v>
      </c>
      <c r="D328" s="5">
        <v>45541</v>
      </c>
      <c r="E328" s="3">
        <v>3719.04</v>
      </c>
      <c r="F328" t="s">
        <v>813</v>
      </c>
      <c r="G328" t="s">
        <v>816</v>
      </c>
      <c r="H328" s="5" t="s">
        <v>825</v>
      </c>
      <c r="I328" s="7">
        <f t="shared" si="5"/>
        <v>565</v>
      </c>
      <c r="J328" s="13" t="str" cm="1">
        <f t="array" ref="J328">_xlfn.IFS(I328=0, "Settled", I328&lt;=30, "1-30", I328&lt;=90, "31-90", I328&lt;=365, "91-365", I328&gt;365, "1 Year+")</f>
        <v>1 Year+</v>
      </c>
      <c r="K328" t="s">
        <v>819</v>
      </c>
      <c r="L328" s="3" cm="1">
        <f t="array" ref="L328">_xlfn.IFS(F328="AUD",E328*$V$2,F328="CAD",E328*$V$3,F328="EUR",E328*$V$4,F328="GBP",E328*$V$5,F328="USD",E328*$V$6)</f>
        <v>2789.2799999999997</v>
      </c>
      <c r="M328" s="3" cm="1">
        <f t="array" ref="M328">_xlfn.IFS(G328="Paid", L328, G328="Partial", L328*0.5, G328="Open", 0)</f>
        <v>0</v>
      </c>
      <c r="N328" s="3" cm="1">
        <f t="array" ref="N328">_xlfn.IFS(G328="Open", L328, G328="Partial", L328*0.5, G328="Paid", 0)</f>
        <v>2789.2799999999997</v>
      </c>
    </row>
    <row r="329" spans="1:14" x14ac:dyDescent="0.25">
      <c r="A329" t="s">
        <v>333</v>
      </c>
      <c r="B329" t="s">
        <v>807</v>
      </c>
      <c r="C329" s="5">
        <v>45576</v>
      </c>
      <c r="D329" s="5">
        <v>45606</v>
      </c>
      <c r="E329" s="3">
        <v>4169.05</v>
      </c>
      <c r="F329" t="s">
        <v>811</v>
      </c>
      <c r="G329" t="s">
        <v>818</v>
      </c>
      <c r="H329" s="5">
        <v>45606</v>
      </c>
      <c r="I329" s="7">
        <f t="shared" si="5"/>
        <v>0</v>
      </c>
      <c r="J329" s="13" t="str" cm="1">
        <f t="array" ref="J329">_xlfn.IFS(I329=0, "Settled", I329&lt;=30, "1-30", I329&lt;=90, "31-90", I329&lt;=365, "91-365", I329&gt;365, "1 Year+")</f>
        <v>Settled</v>
      </c>
      <c r="K329" t="s">
        <v>819</v>
      </c>
      <c r="L329" s="3" cm="1">
        <f t="array" ref="L329">_xlfn.IFS(F329="AUD",E329*$V$2,F329="CAD",E329*$V$3,F329="EUR",E329*$V$4,F329="GBP",E329*$V$5,F329="USD",E329*$V$6)</f>
        <v>3585.3830000000003</v>
      </c>
      <c r="M329" s="3" cm="1">
        <f t="array" ref="M329">_xlfn.IFS(G329="Paid", L329, G329="Partial", L329*0.5, G329="Open", 0)</f>
        <v>3585.3830000000003</v>
      </c>
      <c r="N329" s="3" cm="1">
        <f t="array" ref="N329">_xlfn.IFS(G329="Open", L329, G329="Partial", L329*0.5, G329="Paid", 0)</f>
        <v>0</v>
      </c>
    </row>
    <row r="330" spans="1:14" x14ac:dyDescent="0.25">
      <c r="A330" t="s">
        <v>334</v>
      </c>
      <c r="B330" t="s">
        <v>809</v>
      </c>
      <c r="C330" s="5">
        <v>45643</v>
      </c>
      <c r="D330" s="5">
        <v>45673</v>
      </c>
      <c r="E330" s="3">
        <v>1405.35</v>
      </c>
      <c r="F330" t="s">
        <v>815</v>
      </c>
      <c r="G330" t="s">
        <v>816</v>
      </c>
      <c r="H330" s="5" t="s">
        <v>825</v>
      </c>
      <c r="I330" s="7">
        <f t="shared" si="5"/>
        <v>433</v>
      </c>
      <c r="J330" s="13" t="str" cm="1">
        <f t="array" ref="J330">_xlfn.IFS(I330=0, "Settled", I330&lt;=30, "1-30", I330&lt;=90, "31-90", I330&lt;=365, "91-365", I330&gt;365, "1 Year+")</f>
        <v>1 Year+</v>
      </c>
      <c r="K330" t="s">
        <v>819</v>
      </c>
      <c r="L330" s="3" cm="1">
        <f t="array" ref="L330">_xlfn.IFS(F330="AUD",E330*$V$2,F330="CAD",E330*$V$3,F330="EUR",E330*$V$4,F330="GBP",E330*$V$5,F330="USD",E330*$V$6)</f>
        <v>2037.7574999999997</v>
      </c>
      <c r="M330" s="3" cm="1">
        <f t="array" ref="M330">_xlfn.IFS(G330="Paid", L330, G330="Partial", L330*0.5, G330="Open", 0)</f>
        <v>0</v>
      </c>
      <c r="N330" s="3" cm="1">
        <f t="array" ref="N330">_xlfn.IFS(G330="Open", L330, G330="Partial", L330*0.5, G330="Paid", 0)</f>
        <v>2037.7574999999997</v>
      </c>
    </row>
    <row r="331" spans="1:14" x14ac:dyDescent="0.25">
      <c r="A331" t="s">
        <v>335</v>
      </c>
      <c r="B331" t="s">
        <v>809</v>
      </c>
      <c r="C331" s="5">
        <v>45401</v>
      </c>
      <c r="D331" s="5">
        <v>45431</v>
      </c>
      <c r="E331" s="3">
        <v>4512.4399999999996</v>
      </c>
      <c r="F331" t="s">
        <v>815</v>
      </c>
      <c r="G331" t="s">
        <v>817</v>
      </c>
      <c r="H331" s="5" t="s">
        <v>825</v>
      </c>
      <c r="I331" s="7">
        <f t="shared" si="5"/>
        <v>675</v>
      </c>
      <c r="J331" s="13" t="str" cm="1">
        <f t="array" ref="J331">_xlfn.IFS(I331=0, "Settled", I331&lt;=30, "1-30", I331&lt;=90, "31-90", I331&lt;=365, "91-365", I331&gt;365, "1 Year+")</f>
        <v>1 Year+</v>
      </c>
      <c r="K331" t="s">
        <v>819</v>
      </c>
      <c r="L331" s="3" cm="1">
        <f t="array" ref="L331">_xlfn.IFS(F331="AUD",E331*$V$2,F331="CAD",E331*$V$3,F331="EUR",E331*$V$4,F331="GBP",E331*$V$5,F331="USD",E331*$V$6)</f>
        <v>6543.0379999999996</v>
      </c>
      <c r="M331" s="3" cm="1">
        <f t="array" ref="M331">_xlfn.IFS(G331="Paid", L331, G331="Partial", L331*0.5, G331="Open", 0)</f>
        <v>3271.5189999999998</v>
      </c>
      <c r="N331" s="3" cm="1">
        <f t="array" ref="N331">_xlfn.IFS(G331="Open", L331, G331="Partial", L331*0.5, G331="Paid", 0)</f>
        <v>3271.5189999999998</v>
      </c>
    </row>
    <row r="332" spans="1:14" x14ac:dyDescent="0.25">
      <c r="A332" t="s">
        <v>336</v>
      </c>
      <c r="B332" t="s">
        <v>808</v>
      </c>
      <c r="C332" s="5">
        <v>45395</v>
      </c>
      <c r="D332" s="5">
        <v>45425</v>
      </c>
      <c r="E332" s="3">
        <v>1855.47</v>
      </c>
      <c r="F332" t="s">
        <v>811</v>
      </c>
      <c r="G332" t="s">
        <v>816</v>
      </c>
      <c r="H332" s="5" t="s">
        <v>825</v>
      </c>
      <c r="I332" s="7">
        <f t="shared" si="5"/>
        <v>681</v>
      </c>
      <c r="J332" s="13" t="str" cm="1">
        <f t="array" ref="J332">_xlfn.IFS(I332=0, "Settled", I332&lt;=30, "1-30", I332&lt;=90, "31-90", I332&lt;=365, "91-365", I332&gt;365, "1 Year+")</f>
        <v>1 Year+</v>
      </c>
      <c r="K332" t="s">
        <v>819</v>
      </c>
      <c r="L332" s="3" cm="1">
        <f t="array" ref="L332">_xlfn.IFS(F332="AUD",E332*$V$2,F332="CAD",E332*$V$3,F332="EUR",E332*$V$4,F332="GBP",E332*$V$5,F332="USD",E332*$V$6)</f>
        <v>1595.7041999999999</v>
      </c>
      <c r="M332" s="3" cm="1">
        <f t="array" ref="M332">_xlfn.IFS(G332="Paid", L332, G332="Partial", L332*0.5, G332="Open", 0)</f>
        <v>0</v>
      </c>
      <c r="N332" s="3" cm="1">
        <f t="array" ref="N332">_xlfn.IFS(G332="Open", L332, G332="Partial", L332*0.5, G332="Paid", 0)</f>
        <v>1595.7041999999999</v>
      </c>
    </row>
    <row r="333" spans="1:14" x14ac:dyDescent="0.25">
      <c r="A333" t="s">
        <v>337</v>
      </c>
      <c r="B333" t="s">
        <v>807</v>
      </c>
      <c r="C333" s="5">
        <v>45633</v>
      </c>
      <c r="D333" s="5">
        <v>45663</v>
      </c>
      <c r="E333" s="3">
        <v>1596.9</v>
      </c>
      <c r="F333" t="s">
        <v>812</v>
      </c>
      <c r="G333" t="s">
        <v>818</v>
      </c>
      <c r="H333" s="5">
        <v>45663</v>
      </c>
      <c r="I333" s="7">
        <f t="shared" si="5"/>
        <v>0</v>
      </c>
      <c r="J333" s="13" t="str" cm="1">
        <f t="array" ref="J333">_xlfn.IFS(I333=0, "Settled", I333&lt;=30, "1-30", I333&lt;=90, "31-90", I333&lt;=365, "91-365", I333&gt;365, "1 Year+")</f>
        <v>Settled</v>
      </c>
      <c r="K333" t="s">
        <v>819</v>
      </c>
      <c r="L333" s="3" cm="1">
        <f t="array" ref="L333">_xlfn.IFS(F333="AUD",E333*$V$2,F333="CAD",E333*$V$3,F333="EUR",E333*$V$4,F333="GBP",E333*$V$5,F333="USD",E333*$V$6)</f>
        <v>2203.7219999999998</v>
      </c>
      <c r="M333" s="3" cm="1">
        <f t="array" ref="M333">_xlfn.IFS(G333="Paid", L333, G333="Partial", L333*0.5, G333="Open", 0)</f>
        <v>2203.7219999999998</v>
      </c>
      <c r="N333" s="3" cm="1">
        <f t="array" ref="N333">_xlfn.IFS(G333="Open", L333, G333="Partial", L333*0.5, G333="Paid", 0)</f>
        <v>0</v>
      </c>
    </row>
    <row r="334" spans="1:14" x14ac:dyDescent="0.25">
      <c r="A334" t="s">
        <v>338</v>
      </c>
      <c r="B334" t="s">
        <v>807</v>
      </c>
      <c r="C334" s="5">
        <v>44949</v>
      </c>
      <c r="D334" s="5">
        <v>44979</v>
      </c>
      <c r="E334" s="3">
        <v>176.54</v>
      </c>
      <c r="F334" t="s">
        <v>812</v>
      </c>
      <c r="G334" t="s">
        <v>818</v>
      </c>
      <c r="H334" s="5">
        <v>44979</v>
      </c>
      <c r="I334" s="7">
        <f t="shared" si="5"/>
        <v>0</v>
      </c>
      <c r="J334" s="13" t="str" cm="1">
        <f t="array" ref="J334">_xlfn.IFS(I334=0, "Settled", I334&lt;=30, "1-30", I334&lt;=90, "31-90", I334&lt;=365, "91-365", I334&gt;365, "1 Year+")</f>
        <v>Settled</v>
      </c>
      <c r="K334" t="s">
        <v>819</v>
      </c>
      <c r="L334" s="3" cm="1">
        <f t="array" ref="L334">_xlfn.IFS(F334="AUD",E334*$V$2,F334="CAD",E334*$V$3,F334="EUR",E334*$V$4,F334="GBP",E334*$V$5,F334="USD",E334*$V$6)</f>
        <v>243.62519999999998</v>
      </c>
      <c r="M334" s="3" cm="1">
        <f t="array" ref="M334">_xlfn.IFS(G334="Paid", L334, G334="Partial", L334*0.5, G334="Open", 0)</f>
        <v>243.62519999999998</v>
      </c>
      <c r="N334" s="3" cm="1">
        <f t="array" ref="N334">_xlfn.IFS(G334="Open", L334, G334="Partial", L334*0.5, G334="Paid", 0)</f>
        <v>0</v>
      </c>
    </row>
    <row r="335" spans="1:14" x14ac:dyDescent="0.25">
      <c r="A335" t="s">
        <v>339</v>
      </c>
      <c r="B335" t="s">
        <v>808</v>
      </c>
      <c r="C335" s="5">
        <v>45705</v>
      </c>
      <c r="D335" s="5">
        <v>45735</v>
      </c>
      <c r="E335" s="3">
        <v>1225.82</v>
      </c>
      <c r="F335" t="s">
        <v>812</v>
      </c>
      <c r="G335" t="s">
        <v>816</v>
      </c>
      <c r="H335" s="5" t="s">
        <v>825</v>
      </c>
      <c r="I335" s="7">
        <f t="shared" si="5"/>
        <v>371</v>
      </c>
      <c r="J335" s="13" t="str" cm="1">
        <f t="array" ref="J335">_xlfn.IFS(I335=0, "Settled", I335&lt;=30, "1-30", I335&lt;=90, "31-90", I335&lt;=365, "91-365", I335&gt;365, "1 Year+")</f>
        <v>1 Year+</v>
      </c>
      <c r="K335" t="s">
        <v>819</v>
      </c>
      <c r="L335" s="3" cm="1">
        <f t="array" ref="L335">_xlfn.IFS(F335="AUD",E335*$V$2,F335="CAD",E335*$V$3,F335="EUR",E335*$V$4,F335="GBP",E335*$V$5,F335="USD",E335*$V$6)</f>
        <v>1691.6315999999997</v>
      </c>
      <c r="M335" s="3" cm="1">
        <f t="array" ref="M335">_xlfn.IFS(G335="Paid", L335, G335="Partial", L335*0.5, G335="Open", 0)</f>
        <v>0</v>
      </c>
      <c r="N335" s="3" cm="1">
        <f t="array" ref="N335">_xlfn.IFS(G335="Open", L335, G335="Partial", L335*0.5, G335="Paid", 0)</f>
        <v>1691.6315999999997</v>
      </c>
    </row>
    <row r="336" spans="1:14" x14ac:dyDescent="0.25">
      <c r="A336" t="s">
        <v>340</v>
      </c>
      <c r="B336" t="s">
        <v>806</v>
      </c>
      <c r="C336" s="5">
        <v>45321</v>
      </c>
      <c r="D336" s="5">
        <v>45351</v>
      </c>
      <c r="E336" s="3">
        <v>355.21</v>
      </c>
      <c r="F336" t="s">
        <v>812</v>
      </c>
      <c r="G336" t="s">
        <v>816</v>
      </c>
      <c r="H336" s="5" t="s">
        <v>825</v>
      </c>
      <c r="I336" s="7">
        <f t="shared" si="5"/>
        <v>755</v>
      </c>
      <c r="J336" s="13" t="str" cm="1">
        <f t="array" ref="J336">_xlfn.IFS(I336=0, "Settled", I336&lt;=30, "1-30", I336&lt;=90, "31-90", I336&lt;=365, "91-365", I336&gt;365, "1 Year+")</f>
        <v>1 Year+</v>
      </c>
      <c r="K336" t="s">
        <v>819</v>
      </c>
      <c r="L336" s="3" cm="1">
        <f t="array" ref="L336">_xlfn.IFS(F336="AUD",E336*$V$2,F336="CAD",E336*$V$3,F336="EUR",E336*$V$4,F336="GBP",E336*$V$5,F336="USD",E336*$V$6)</f>
        <v>490.18979999999993</v>
      </c>
      <c r="M336" s="3" cm="1">
        <f t="array" ref="M336">_xlfn.IFS(G336="Paid", L336, G336="Partial", L336*0.5, G336="Open", 0)</f>
        <v>0</v>
      </c>
      <c r="N336" s="3" cm="1">
        <f t="array" ref="N336">_xlfn.IFS(G336="Open", L336, G336="Partial", L336*0.5, G336="Paid", 0)</f>
        <v>490.18979999999993</v>
      </c>
    </row>
    <row r="337" spans="1:14" x14ac:dyDescent="0.25">
      <c r="A337" t="s">
        <v>341</v>
      </c>
      <c r="B337" t="s">
        <v>809</v>
      </c>
      <c r="C337" s="5">
        <v>45736</v>
      </c>
      <c r="D337" s="5">
        <v>45766</v>
      </c>
      <c r="E337" s="3">
        <v>4628.8599999999997</v>
      </c>
      <c r="F337" t="s">
        <v>811</v>
      </c>
      <c r="G337" t="s">
        <v>818</v>
      </c>
      <c r="H337" s="5">
        <v>45766</v>
      </c>
      <c r="I337" s="7">
        <f t="shared" si="5"/>
        <v>0</v>
      </c>
      <c r="J337" s="13" t="str" cm="1">
        <f t="array" ref="J337">_xlfn.IFS(I337=0, "Settled", I337&lt;=30, "1-30", I337&lt;=90, "31-90", I337&lt;=365, "91-365", I337&gt;365, "1 Year+")</f>
        <v>Settled</v>
      </c>
      <c r="K337" t="s">
        <v>819</v>
      </c>
      <c r="L337" s="3" cm="1">
        <f t="array" ref="L337">_xlfn.IFS(F337="AUD",E337*$V$2,F337="CAD",E337*$V$3,F337="EUR",E337*$V$4,F337="GBP",E337*$V$5,F337="USD",E337*$V$6)</f>
        <v>3980.8195999999998</v>
      </c>
      <c r="M337" s="3" cm="1">
        <f t="array" ref="M337">_xlfn.IFS(G337="Paid", L337, G337="Partial", L337*0.5, G337="Open", 0)</f>
        <v>3980.8195999999998</v>
      </c>
      <c r="N337" s="3" cm="1">
        <f t="array" ref="N337">_xlfn.IFS(G337="Open", L337, G337="Partial", L337*0.5, G337="Paid", 0)</f>
        <v>0</v>
      </c>
    </row>
    <row r="338" spans="1:14" x14ac:dyDescent="0.25">
      <c r="A338" t="s">
        <v>342</v>
      </c>
      <c r="B338" t="s">
        <v>810</v>
      </c>
      <c r="C338" s="5">
        <v>45268</v>
      </c>
      <c r="D338" s="5">
        <v>45298</v>
      </c>
      <c r="E338" s="3">
        <v>2845.8</v>
      </c>
      <c r="F338" t="s">
        <v>811</v>
      </c>
      <c r="G338" t="s">
        <v>817</v>
      </c>
      <c r="H338" s="5" t="s">
        <v>825</v>
      </c>
      <c r="I338" s="7">
        <f t="shared" si="5"/>
        <v>808</v>
      </c>
      <c r="J338" s="13" t="str" cm="1">
        <f t="array" ref="J338">_xlfn.IFS(I338=0, "Settled", I338&lt;=30, "1-30", I338&lt;=90, "31-90", I338&lt;=365, "91-365", I338&gt;365, "1 Year+")</f>
        <v>1 Year+</v>
      </c>
      <c r="K338" t="s">
        <v>819</v>
      </c>
      <c r="L338" s="3" cm="1">
        <f t="array" ref="L338">_xlfn.IFS(F338="AUD",E338*$V$2,F338="CAD",E338*$V$3,F338="EUR",E338*$V$4,F338="GBP",E338*$V$5,F338="USD",E338*$V$6)</f>
        <v>2447.3879999999999</v>
      </c>
      <c r="M338" s="3" cm="1">
        <f t="array" ref="M338">_xlfn.IFS(G338="Paid", L338, G338="Partial", L338*0.5, G338="Open", 0)</f>
        <v>1223.694</v>
      </c>
      <c r="N338" s="3" cm="1">
        <f t="array" ref="N338">_xlfn.IFS(G338="Open", L338, G338="Partial", L338*0.5, G338="Paid", 0)</f>
        <v>1223.694</v>
      </c>
    </row>
    <row r="339" spans="1:14" x14ac:dyDescent="0.25">
      <c r="A339" t="s">
        <v>343</v>
      </c>
      <c r="B339" t="s">
        <v>808</v>
      </c>
      <c r="C339" s="5">
        <v>45810</v>
      </c>
      <c r="D339" s="5">
        <v>45840</v>
      </c>
      <c r="E339" s="3">
        <v>1566.29</v>
      </c>
      <c r="F339" t="s">
        <v>811</v>
      </c>
      <c r="G339" t="s">
        <v>816</v>
      </c>
      <c r="H339" s="5" t="s">
        <v>825</v>
      </c>
      <c r="I339" s="7">
        <f t="shared" si="5"/>
        <v>266</v>
      </c>
      <c r="J339" s="13" t="str" cm="1">
        <f t="array" ref="J339">_xlfn.IFS(I339=0, "Settled", I339&lt;=30, "1-30", I339&lt;=90, "31-90", I339&lt;=365, "91-365", I339&gt;365, "1 Year+")</f>
        <v>91-365</v>
      </c>
      <c r="K339" t="s">
        <v>819</v>
      </c>
      <c r="L339" s="3" cm="1">
        <f t="array" ref="L339">_xlfn.IFS(F339="AUD",E339*$V$2,F339="CAD",E339*$V$3,F339="EUR",E339*$V$4,F339="GBP",E339*$V$5,F339="USD",E339*$V$6)</f>
        <v>1347.0093999999999</v>
      </c>
      <c r="M339" s="3" cm="1">
        <f t="array" ref="M339">_xlfn.IFS(G339="Paid", L339, G339="Partial", L339*0.5, G339="Open", 0)</f>
        <v>0</v>
      </c>
      <c r="N339" s="3" cm="1">
        <f t="array" ref="N339">_xlfn.IFS(G339="Open", L339, G339="Partial", L339*0.5, G339="Paid", 0)</f>
        <v>1347.0093999999999</v>
      </c>
    </row>
    <row r="340" spans="1:14" x14ac:dyDescent="0.25">
      <c r="A340" t="s">
        <v>344</v>
      </c>
      <c r="B340" t="s">
        <v>809</v>
      </c>
      <c r="C340" s="5">
        <v>45235</v>
      </c>
      <c r="D340" s="5">
        <v>45265</v>
      </c>
      <c r="E340" s="3">
        <v>4917.53</v>
      </c>
      <c r="F340" t="s">
        <v>811</v>
      </c>
      <c r="G340" t="s">
        <v>818</v>
      </c>
      <c r="H340" s="5">
        <v>45265</v>
      </c>
      <c r="I340" s="7">
        <f t="shared" si="5"/>
        <v>0</v>
      </c>
      <c r="J340" s="13" t="str" cm="1">
        <f t="array" ref="J340">_xlfn.IFS(I340=0, "Settled", I340&lt;=30, "1-30", I340&lt;=90, "31-90", I340&lt;=365, "91-365", I340&gt;365, "1 Year+")</f>
        <v>Settled</v>
      </c>
      <c r="K340" t="s">
        <v>819</v>
      </c>
      <c r="L340" s="3" cm="1">
        <f t="array" ref="L340">_xlfn.IFS(F340="AUD",E340*$V$2,F340="CAD",E340*$V$3,F340="EUR",E340*$V$4,F340="GBP",E340*$V$5,F340="USD",E340*$V$6)</f>
        <v>4229.0757999999996</v>
      </c>
      <c r="M340" s="3" cm="1">
        <f t="array" ref="M340">_xlfn.IFS(G340="Paid", L340, G340="Partial", L340*0.5, G340="Open", 0)</f>
        <v>4229.0757999999996</v>
      </c>
      <c r="N340" s="3" cm="1">
        <f t="array" ref="N340">_xlfn.IFS(G340="Open", L340, G340="Partial", L340*0.5, G340="Paid", 0)</f>
        <v>0</v>
      </c>
    </row>
    <row r="341" spans="1:14" x14ac:dyDescent="0.25">
      <c r="A341" t="s">
        <v>345</v>
      </c>
      <c r="B341" t="s">
        <v>810</v>
      </c>
      <c r="C341" s="5">
        <v>45282</v>
      </c>
      <c r="D341" s="5">
        <v>45312</v>
      </c>
      <c r="E341" s="3">
        <v>2748.45</v>
      </c>
      <c r="F341" t="s">
        <v>813</v>
      </c>
      <c r="G341" t="s">
        <v>816</v>
      </c>
      <c r="H341" s="5" t="s">
        <v>825</v>
      </c>
      <c r="I341" s="7">
        <f t="shared" si="5"/>
        <v>794</v>
      </c>
      <c r="J341" s="13" t="str" cm="1">
        <f t="array" ref="J341">_xlfn.IFS(I341=0, "Settled", I341&lt;=30, "1-30", I341&lt;=90, "31-90", I341&lt;=365, "91-365", I341&gt;365, "1 Year+")</f>
        <v>1 Year+</v>
      </c>
      <c r="K341" t="s">
        <v>819</v>
      </c>
      <c r="L341" s="3" cm="1">
        <f t="array" ref="L341">_xlfn.IFS(F341="AUD",E341*$V$2,F341="CAD",E341*$V$3,F341="EUR",E341*$V$4,F341="GBP",E341*$V$5,F341="USD",E341*$V$6)</f>
        <v>2061.3374999999996</v>
      </c>
      <c r="M341" s="3" cm="1">
        <f t="array" ref="M341">_xlfn.IFS(G341="Paid", L341, G341="Partial", L341*0.5, G341="Open", 0)</f>
        <v>0</v>
      </c>
      <c r="N341" s="3" cm="1">
        <f t="array" ref="N341">_xlfn.IFS(G341="Open", L341, G341="Partial", L341*0.5, G341="Paid", 0)</f>
        <v>2061.3374999999996</v>
      </c>
    </row>
    <row r="342" spans="1:14" x14ac:dyDescent="0.25">
      <c r="A342" t="s">
        <v>346</v>
      </c>
      <c r="B342" t="s">
        <v>809</v>
      </c>
      <c r="C342" s="5">
        <v>45672</v>
      </c>
      <c r="D342" s="5">
        <v>45702</v>
      </c>
      <c r="E342" s="3">
        <v>2910.56</v>
      </c>
      <c r="F342" t="s">
        <v>815</v>
      </c>
      <c r="G342" t="s">
        <v>818</v>
      </c>
      <c r="H342" s="5">
        <v>45702</v>
      </c>
      <c r="I342" s="7">
        <f t="shared" si="5"/>
        <v>0</v>
      </c>
      <c r="J342" s="13" t="str" cm="1">
        <f t="array" ref="J342">_xlfn.IFS(I342=0, "Settled", I342&lt;=30, "1-30", I342&lt;=90, "31-90", I342&lt;=365, "91-365", I342&gt;365, "1 Year+")</f>
        <v>Settled</v>
      </c>
      <c r="K342" t="s">
        <v>819</v>
      </c>
      <c r="L342" s="3" cm="1">
        <f t="array" ref="L342">_xlfn.IFS(F342="AUD",E342*$V$2,F342="CAD",E342*$V$3,F342="EUR",E342*$V$4,F342="GBP",E342*$V$5,F342="USD",E342*$V$6)</f>
        <v>4220.3119999999999</v>
      </c>
      <c r="M342" s="3" cm="1">
        <f t="array" ref="M342">_xlfn.IFS(G342="Paid", L342, G342="Partial", L342*0.5, G342="Open", 0)</f>
        <v>4220.3119999999999</v>
      </c>
      <c r="N342" s="3" cm="1">
        <f t="array" ref="N342">_xlfn.IFS(G342="Open", L342, G342="Partial", L342*0.5, G342="Paid", 0)</f>
        <v>0</v>
      </c>
    </row>
    <row r="343" spans="1:14" x14ac:dyDescent="0.25">
      <c r="A343" t="s">
        <v>347</v>
      </c>
      <c r="B343" t="s">
        <v>808</v>
      </c>
      <c r="C343" s="5">
        <v>45831</v>
      </c>
      <c r="D343" s="5">
        <v>45861</v>
      </c>
      <c r="E343" s="3">
        <v>728.89</v>
      </c>
      <c r="F343" t="s">
        <v>814</v>
      </c>
      <c r="G343" t="s">
        <v>817</v>
      </c>
      <c r="H343" s="5" t="s">
        <v>825</v>
      </c>
      <c r="I343" s="7">
        <f t="shared" si="5"/>
        <v>245</v>
      </c>
      <c r="J343" s="13" t="str" cm="1">
        <f t="array" ref="J343">_xlfn.IFS(I343=0, "Settled", I343&lt;=30, "1-30", I343&lt;=90, "31-90", I343&lt;=365, "91-365", I343&gt;365, "1 Year+")</f>
        <v>91-365</v>
      </c>
      <c r="K343" t="s">
        <v>819</v>
      </c>
      <c r="L343" s="3" cm="1">
        <f t="array" ref="L343">_xlfn.IFS(F343="AUD",E343*$V$2,F343="CAD",E343*$V$3,F343="EUR",E343*$V$4,F343="GBP",E343*$V$5,F343="USD",E343*$V$6)</f>
        <v>728.89</v>
      </c>
      <c r="M343" s="3" cm="1">
        <f t="array" ref="M343">_xlfn.IFS(G343="Paid", L343, G343="Partial", L343*0.5, G343="Open", 0)</f>
        <v>364.44499999999999</v>
      </c>
      <c r="N343" s="3" cm="1">
        <f t="array" ref="N343">_xlfn.IFS(G343="Open", L343, G343="Partial", L343*0.5, G343="Paid", 0)</f>
        <v>364.44499999999999</v>
      </c>
    </row>
    <row r="344" spans="1:14" x14ac:dyDescent="0.25">
      <c r="A344" t="s">
        <v>348</v>
      </c>
      <c r="B344" t="s">
        <v>806</v>
      </c>
      <c r="C344" s="5">
        <v>44981</v>
      </c>
      <c r="D344" s="5">
        <v>45011</v>
      </c>
      <c r="E344" s="3">
        <v>1790.61</v>
      </c>
      <c r="F344" t="s">
        <v>814</v>
      </c>
      <c r="G344" t="s">
        <v>817</v>
      </c>
      <c r="H344" s="5" t="s">
        <v>825</v>
      </c>
      <c r="I344" s="7">
        <f t="shared" si="5"/>
        <v>1095</v>
      </c>
      <c r="J344" s="13" t="str" cm="1">
        <f t="array" ref="J344">_xlfn.IFS(I344=0, "Settled", I344&lt;=30, "1-30", I344&lt;=90, "31-90", I344&lt;=365, "91-365", I344&gt;365, "1 Year+")</f>
        <v>1 Year+</v>
      </c>
      <c r="K344" t="s">
        <v>819</v>
      </c>
      <c r="L344" s="3" cm="1">
        <f t="array" ref="L344">_xlfn.IFS(F344="AUD",E344*$V$2,F344="CAD",E344*$V$3,F344="EUR",E344*$V$4,F344="GBP",E344*$V$5,F344="USD",E344*$V$6)</f>
        <v>1790.61</v>
      </c>
      <c r="M344" s="3" cm="1">
        <f t="array" ref="M344">_xlfn.IFS(G344="Paid", L344, G344="Partial", L344*0.5, G344="Open", 0)</f>
        <v>895.30499999999995</v>
      </c>
      <c r="N344" s="3" cm="1">
        <f t="array" ref="N344">_xlfn.IFS(G344="Open", L344, G344="Partial", L344*0.5, G344="Paid", 0)</f>
        <v>895.30499999999995</v>
      </c>
    </row>
    <row r="345" spans="1:14" x14ac:dyDescent="0.25">
      <c r="A345" t="s">
        <v>349</v>
      </c>
      <c r="B345" t="s">
        <v>809</v>
      </c>
      <c r="C345" s="5">
        <v>45358</v>
      </c>
      <c r="D345" s="5">
        <v>45388</v>
      </c>
      <c r="E345" s="3">
        <v>3085.28</v>
      </c>
      <c r="F345" t="s">
        <v>813</v>
      </c>
      <c r="G345" t="s">
        <v>818</v>
      </c>
      <c r="H345" s="5">
        <v>45388</v>
      </c>
      <c r="I345" s="7">
        <f t="shared" si="5"/>
        <v>0</v>
      </c>
      <c r="J345" s="13" t="str" cm="1">
        <f t="array" ref="J345">_xlfn.IFS(I345=0, "Settled", I345&lt;=30, "1-30", I345&lt;=90, "31-90", I345&lt;=365, "91-365", I345&gt;365, "1 Year+")</f>
        <v>Settled</v>
      </c>
      <c r="K345" t="s">
        <v>819</v>
      </c>
      <c r="L345" s="3" cm="1">
        <f t="array" ref="L345">_xlfn.IFS(F345="AUD",E345*$V$2,F345="CAD",E345*$V$3,F345="EUR",E345*$V$4,F345="GBP",E345*$V$5,F345="USD",E345*$V$6)</f>
        <v>2313.96</v>
      </c>
      <c r="M345" s="3" cm="1">
        <f t="array" ref="M345">_xlfn.IFS(G345="Paid", L345, G345="Partial", L345*0.5, G345="Open", 0)</f>
        <v>2313.96</v>
      </c>
      <c r="N345" s="3" cm="1">
        <f t="array" ref="N345">_xlfn.IFS(G345="Open", L345, G345="Partial", L345*0.5, G345="Paid", 0)</f>
        <v>0</v>
      </c>
    </row>
    <row r="346" spans="1:14" x14ac:dyDescent="0.25">
      <c r="A346" t="s">
        <v>350</v>
      </c>
      <c r="B346" t="s">
        <v>807</v>
      </c>
      <c r="C346" s="5">
        <v>45154</v>
      </c>
      <c r="D346" s="5">
        <v>45184</v>
      </c>
      <c r="E346" s="3">
        <v>899.5</v>
      </c>
      <c r="F346" t="s">
        <v>813</v>
      </c>
      <c r="G346" t="s">
        <v>816</v>
      </c>
      <c r="H346" s="5" t="s">
        <v>825</v>
      </c>
      <c r="I346" s="7">
        <f t="shared" si="5"/>
        <v>922</v>
      </c>
      <c r="J346" s="13" t="str" cm="1">
        <f t="array" ref="J346">_xlfn.IFS(I346=0, "Settled", I346&lt;=30, "1-30", I346&lt;=90, "31-90", I346&lt;=365, "91-365", I346&gt;365, "1 Year+")</f>
        <v>1 Year+</v>
      </c>
      <c r="K346" t="s">
        <v>819</v>
      </c>
      <c r="L346" s="3" cm="1">
        <f t="array" ref="L346">_xlfn.IFS(F346="AUD",E346*$V$2,F346="CAD",E346*$V$3,F346="EUR",E346*$V$4,F346="GBP",E346*$V$5,F346="USD",E346*$V$6)</f>
        <v>674.625</v>
      </c>
      <c r="M346" s="3" cm="1">
        <f t="array" ref="M346">_xlfn.IFS(G346="Paid", L346, G346="Partial", L346*0.5, G346="Open", 0)</f>
        <v>0</v>
      </c>
      <c r="N346" s="3" cm="1">
        <f t="array" ref="N346">_xlfn.IFS(G346="Open", L346, G346="Partial", L346*0.5, G346="Paid", 0)</f>
        <v>674.625</v>
      </c>
    </row>
    <row r="347" spans="1:14" x14ac:dyDescent="0.25">
      <c r="A347" t="s">
        <v>351</v>
      </c>
      <c r="B347" t="s">
        <v>809</v>
      </c>
      <c r="C347" s="5">
        <v>44937</v>
      </c>
      <c r="D347" s="5">
        <v>44967</v>
      </c>
      <c r="E347" s="3">
        <v>1797.02</v>
      </c>
      <c r="F347" t="s">
        <v>814</v>
      </c>
      <c r="G347" t="s">
        <v>816</v>
      </c>
      <c r="H347" s="5" t="s">
        <v>825</v>
      </c>
      <c r="I347" s="7">
        <f t="shared" si="5"/>
        <v>1139</v>
      </c>
      <c r="J347" s="13" t="str" cm="1">
        <f t="array" ref="J347">_xlfn.IFS(I347=0, "Settled", I347&lt;=30, "1-30", I347&lt;=90, "31-90", I347&lt;=365, "91-365", I347&gt;365, "1 Year+")</f>
        <v>1 Year+</v>
      </c>
      <c r="K347" t="s">
        <v>819</v>
      </c>
      <c r="L347" s="3" cm="1">
        <f t="array" ref="L347">_xlfn.IFS(F347="AUD",E347*$V$2,F347="CAD",E347*$V$3,F347="EUR",E347*$V$4,F347="GBP",E347*$V$5,F347="USD",E347*$V$6)</f>
        <v>1797.02</v>
      </c>
      <c r="M347" s="3" cm="1">
        <f t="array" ref="M347">_xlfn.IFS(G347="Paid", L347, G347="Partial", L347*0.5, G347="Open", 0)</f>
        <v>0</v>
      </c>
      <c r="N347" s="3" cm="1">
        <f t="array" ref="N347">_xlfn.IFS(G347="Open", L347, G347="Partial", L347*0.5, G347="Paid", 0)</f>
        <v>1797.02</v>
      </c>
    </row>
    <row r="348" spans="1:14" x14ac:dyDescent="0.25">
      <c r="A348" t="s">
        <v>352</v>
      </c>
      <c r="B348" t="s">
        <v>808</v>
      </c>
      <c r="C348" s="5">
        <v>45169</v>
      </c>
      <c r="D348" s="5">
        <v>45199</v>
      </c>
      <c r="E348" s="3">
        <v>4901.42</v>
      </c>
      <c r="F348" t="s">
        <v>812</v>
      </c>
      <c r="G348" t="s">
        <v>816</v>
      </c>
      <c r="H348" s="5" t="s">
        <v>825</v>
      </c>
      <c r="I348" s="7">
        <f t="shared" si="5"/>
        <v>907</v>
      </c>
      <c r="J348" s="13" t="str" cm="1">
        <f t="array" ref="J348">_xlfn.IFS(I348=0, "Settled", I348&lt;=30, "1-30", I348&lt;=90, "31-90", I348&lt;=365, "91-365", I348&gt;365, "1 Year+")</f>
        <v>1 Year+</v>
      </c>
      <c r="K348" t="s">
        <v>819</v>
      </c>
      <c r="L348" s="3" cm="1">
        <f t="array" ref="L348">_xlfn.IFS(F348="AUD",E348*$V$2,F348="CAD",E348*$V$3,F348="EUR",E348*$V$4,F348="GBP",E348*$V$5,F348="USD",E348*$V$6)</f>
        <v>6763.9595999999992</v>
      </c>
      <c r="M348" s="3" cm="1">
        <f t="array" ref="M348">_xlfn.IFS(G348="Paid", L348, G348="Partial", L348*0.5, G348="Open", 0)</f>
        <v>0</v>
      </c>
      <c r="N348" s="3" cm="1">
        <f t="array" ref="N348">_xlfn.IFS(G348="Open", L348, G348="Partial", L348*0.5, G348="Paid", 0)</f>
        <v>6763.9595999999992</v>
      </c>
    </row>
    <row r="349" spans="1:14" x14ac:dyDescent="0.25">
      <c r="A349" t="s">
        <v>353</v>
      </c>
      <c r="B349" t="s">
        <v>809</v>
      </c>
      <c r="C349" s="5">
        <v>44962</v>
      </c>
      <c r="D349" s="5">
        <v>44992</v>
      </c>
      <c r="E349" s="3">
        <v>4612.1400000000003</v>
      </c>
      <c r="F349" t="s">
        <v>813</v>
      </c>
      <c r="G349" t="s">
        <v>818</v>
      </c>
      <c r="H349" s="5">
        <v>44992</v>
      </c>
      <c r="I349" s="7">
        <f t="shared" si="5"/>
        <v>0</v>
      </c>
      <c r="J349" s="13" t="str" cm="1">
        <f t="array" ref="J349">_xlfn.IFS(I349=0, "Settled", I349&lt;=30, "1-30", I349&lt;=90, "31-90", I349&lt;=365, "91-365", I349&gt;365, "1 Year+")</f>
        <v>Settled</v>
      </c>
      <c r="K349" t="s">
        <v>819</v>
      </c>
      <c r="L349" s="3" cm="1">
        <f t="array" ref="L349">_xlfn.IFS(F349="AUD",E349*$V$2,F349="CAD",E349*$V$3,F349="EUR",E349*$V$4,F349="GBP",E349*$V$5,F349="USD",E349*$V$6)</f>
        <v>3459.1050000000005</v>
      </c>
      <c r="M349" s="3" cm="1">
        <f t="array" ref="M349">_xlfn.IFS(G349="Paid", L349, G349="Partial", L349*0.5, G349="Open", 0)</f>
        <v>3459.1050000000005</v>
      </c>
      <c r="N349" s="3" cm="1">
        <f t="array" ref="N349">_xlfn.IFS(G349="Open", L349, G349="Partial", L349*0.5, G349="Paid", 0)</f>
        <v>0</v>
      </c>
    </row>
    <row r="350" spans="1:14" x14ac:dyDescent="0.25">
      <c r="A350" t="s">
        <v>354</v>
      </c>
      <c r="B350" t="s">
        <v>806</v>
      </c>
      <c r="C350" s="5">
        <v>45452</v>
      </c>
      <c r="D350" s="5">
        <v>45482</v>
      </c>
      <c r="E350" s="3">
        <v>3151.2</v>
      </c>
      <c r="F350" t="s">
        <v>812</v>
      </c>
      <c r="G350" t="s">
        <v>817</v>
      </c>
      <c r="H350" s="5" t="s">
        <v>825</v>
      </c>
      <c r="I350" s="7">
        <f t="shared" si="5"/>
        <v>624</v>
      </c>
      <c r="J350" s="13" t="str" cm="1">
        <f t="array" ref="J350">_xlfn.IFS(I350=0, "Settled", I350&lt;=30, "1-30", I350&lt;=90, "31-90", I350&lt;=365, "91-365", I350&gt;365, "1 Year+")</f>
        <v>1 Year+</v>
      </c>
      <c r="K350" t="s">
        <v>819</v>
      </c>
      <c r="L350" s="3" cm="1">
        <f t="array" ref="L350">_xlfn.IFS(F350="AUD",E350*$V$2,F350="CAD",E350*$V$3,F350="EUR",E350*$V$4,F350="GBP",E350*$V$5,F350="USD",E350*$V$6)</f>
        <v>4348.655999999999</v>
      </c>
      <c r="M350" s="3" cm="1">
        <f t="array" ref="M350">_xlfn.IFS(G350="Paid", L350, G350="Partial", L350*0.5, G350="Open", 0)</f>
        <v>2174.3279999999995</v>
      </c>
      <c r="N350" s="3" cm="1">
        <f t="array" ref="N350">_xlfn.IFS(G350="Open", L350, G350="Partial", L350*0.5, G350="Paid", 0)</f>
        <v>2174.3279999999995</v>
      </c>
    </row>
    <row r="351" spans="1:14" x14ac:dyDescent="0.25">
      <c r="A351" t="s">
        <v>355</v>
      </c>
      <c r="B351" t="s">
        <v>809</v>
      </c>
      <c r="C351" s="5">
        <v>45372</v>
      </c>
      <c r="D351" s="5">
        <v>45402</v>
      </c>
      <c r="E351" s="3">
        <v>4219.03</v>
      </c>
      <c r="F351" t="s">
        <v>815</v>
      </c>
      <c r="G351" t="s">
        <v>818</v>
      </c>
      <c r="H351" s="5">
        <v>45402</v>
      </c>
      <c r="I351" s="7">
        <f t="shared" si="5"/>
        <v>0</v>
      </c>
      <c r="J351" s="13" t="str" cm="1">
        <f t="array" ref="J351">_xlfn.IFS(I351=0, "Settled", I351&lt;=30, "1-30", I351&lt;=90, "31-90", I351&lt;=365, "91-365", I351&gt;365, "1 Year+")</f>
        <v>Settled</v>
      </c>
      <c r="K351" t="s">
        <v>819</v>
      </c>
      <c r="L351" s="3" cm="1">
        <f t="array" ref="L351">_xlfn.IFS(F351="AUD",E351*$V$2,F351="CAD",E351*$V$3,F351="EUR",E351*$V$4,F351="GBP",E351*$V$5,F351="USD",E351*$V$6)</f>
        <v>6117.593499999999</v>
      </c>
      <c r="M351" s="3" cm="1">
        <f t="array" ref="M351">_xlfn.IFS(G351="Paid", L351, G351="Partial", L351*0.5, G351="Open", 0)</f>
        <v>6117.593499999999</v>
      </c>
      <c r="N351" s="3" cm="1">
        <f t="array" ref="N351">_xlfn.IFS(G351="Open", L351, G351="Partial", L351*0.5, G351="Paid", 0)</f>
        <v>0</v>
      </c>
    </row>
    <row r="352" spans="1:14" x14ac:dyDescent="0.25">
      <c r="A352" t="s">
        <v>356</v>
      </c>
      <c r="B352" t="s">
        <v>808</v>
      </c>
      <c r="C352" s="5">
        <v>45273</v>
      </c>
      <c r="D352" s="5">
        <v>45303</v>
      </c>
      <c r="E352" s="3">
        <v>4971.99</v>
      </c>
      <c r="F352" t="s">
        <v>811</v>
      </c>
      <c r="G352" t="s">
        <v>816</v>
      </c>
      <c r="H352" s="5" t="s">
        <v>825</v>
      </c>
      <c r="I352" s="7">
        <f t="shared" si="5"/>
        <v>803</v>
      </c>
      <c r="J352" s="13" t="str" cm="1">
        <f t="array" ref="J352">_xlfn.IFS(I352=0, "Settled", I352&lt;=30, "1-30", I352&lt;=90, "31-90", I352&lt;=365, "91-365", I352&gt;365, "1 Year+")</f>
        <v>1 Year+</v>
      </c>
      <c r="K352" t="s">
        <v>819</v>
      </c>
      <c r="L352" s="3" cm="1">
        <f t="array" ref="L352">_xlfn.IFS(F352="AUD",E352*$V$2,F352="CAD",E352*$V$3,F352="EUR",E352*$V$4,F352="GBP",E352*$V$5,F352="USD",E352*$V$6)</f>
        <v>4275.9114</v>
      </c>
      <c r="M352" s="3" cm="1">
        <f t="array" ref="M352">_xlfn.IFS(G352="Paid", L352, G352="Partial", L352*0.5, G352="Open", 0)</f>
        <v>0</v>
      </c>
      <c r="N352" s="3" cm="1">
        <f t="array" ref="N352">_xlfn.IFS(G352="Open", L352, G352="Partial", L352*0.5, G352="Paid", 0)</f>
        <v>4275.9114</v>
      </c>
    </row>
    <row r="353" spans="1:14" x14ac:dyDescent="0.25">
      <c r="A353" t="s">
        <v>357</v>
      </c>
      <c r="B353" t="s">
        <v>807</v>
      </c>
      <c r="C353" s="5">
        <v>45281</v>
      </c>
      <c r="D353" s="5">
        <v>45311</v>
      </c>
      <c r="E353" s="3">
        <v>3366.62</v>
      </c>
      <c r="F353" t="s">
        <v>813</v>
      </c>
      <c r="G353" t="s">
        <v>818</v>
      </c>
      <c r="H353" s="5">
        <v>45311</v>
      </c>
      <c r="I353" s="7">
        <f t="shared" si="5"/>
        <v>0</v>
      </c>
      <c r="J353" s="13" t="str" cm="1">
        <f t="array" ref="J353">_xlfn.IFS(I353=0, "Settled", I353&lt;=30, "1-30", I353&lt;=90, "31-90", I353&lt;=365, "91-365", I353&gt;365, "1 Year+")</f>
        <v>Settled</v>
      </c>
      <c r="K353" t="s">
        <v>819</v>
      </c>
      <c r="L353" s="3" cm="1">
        <f t="array" ref="L353">_xlfn.IFS(F353="AUD",E353*$V$2,F353="CAD",E353*$V$3,F353="EUR",E353*$V$4,F353="GBP",E353*$V$5,F353="USD",E353*$V$6)</f>
        <v>2524.9650000000001</v>
      </c>
      <c r="M353" s="3" cm="1">
        <f t="array" ref="M353">_xlfn.IFS(G353="Paid", L353, G353="Partial", L353*0.5, G353="Open", 0)</f>
        <v>2524.9650000000001</v>
      </c>
      <c r="N353" s="3" cm="1">
        <f t="array" ref="N353">_xlfn.IFS(G353="Open", L353, G353="Partial", L353*0.5, G353="Paid", 0)</f>
        <v>0</v>
      </c>
    </row>
    <row r="354" spans="1:14" x14ac:dyDescent="0.25">
      <c r="A354" t="s">
        <v>358</v>
      </c>
      <c r="B354" t="s">
        <v>810</v>
      </c>
      <c r="C354" s="5">
        <v>45735</v>
      </c>
      <c r="D354" s="5">
        <v>45765</v>
      </c>
      <c r="E354" s="3">
        <v>499.9</v>
      </c>
      <c r="F354" t="s">
        <v>812</v>
      </c>
      <c r="G354" t="s">
        <v>818</v>
      </c>
      <c r="H354" s="5">
        <v>45765</v>
      </c>
      <c r="I354" s="7">
        <f t="shared" si="5"/>
        <v>0</v>
      </c>
      <c r="J354" s="13" t="str" cm="1">
        <f t="array" ref="J354">_xlfn.IFS(I354=0, "Settled", I354&lt;=30, "1-30", I354&lt;=90, "31-90", I354&lt;=365, "91-365", I354&gt;365, "1 Year+")</f>
        <v>Settled</v>
      </c>
      <c r="K354" t="s">
        <v>819</v>
      </c>
      <c r="L354" s="3" cm="1">
        <f t="array" ref="L354">_xlfn.IFS(F354="AUD",E354*$V$2,F354="CAD",E354*$V$3,F354="EUR",E354*$V$4,F354="GBP",E354*$V$5,F354="USD",E354*$V$6)</f>
        <v>689.86199999999997</v>
      </c>
      <c r="M354" s="3" cm="1">
        <f t="array" ref="M354">_xlfn.IFS(G354="Paid", L354, G354="Partial", L354*0.5, G354="Open", 0)</f>
        <v>689.86199999999997</v>
      </c>
      <c r="N354" s="3" cm="1">
        <f t="array" ref="N354">_xlfn.IFS(G354="Open", L354, G354="Partial", L354*0.5, G354="Paid", 0)</f>
        <v>0</v>
      </c>
    </row>
    <row r="355" spans="1:14" x14ac:dyDescent="0.25">
      <c r="A355" t="s">
        <v>359</v>
      </c>
      <c r="B355" t="s">
        <v>807</v>
      </c>
      <c r="C355" s="5">
        <v>45197</v>
      </c>
      <c r="D355" s="5">
        <v>45227</v>
      </c>
      <c r="E355" s="3">
        <v>4834.01</v>
      </c>
      <c r="F355" t="s">
        <v>813</v>
      </c>
      <c r="G355" t="s">
        <v>818</v>
      </c>
      <c r="H355" s="5">
        <v>45227</v>
      </c>
      <c r="I355" s="7">
        <f t="shared" si="5"/>
        <v>0</v>
      </c>
      <c r="J355" s="13" t="str" cm="1">
        <f t="array" ref="J355">_xlfn.IFS(I355=0, "Settled", I355&lt;=30, "1-30", I355&lt;=90, "31-90", I355&lt;=365, "91-365", I355&gt;365, "1 Year+")</f>
        <v>Settled</v>
      </c>
      <c r="K355" t="s">
        <v>819</v>
      </c>
      <c r="L355" s="3" cm="1">
        <f t="array" ref="L355">_xlfn.IFS(F355="AUD",E355*$V$2,F355="CAD",E355*$V$3,F355="EUR",E355*$V$4,F355="GBP",E355*$V$5,F355="USD",E355*$V$6)</f>
        <v>3625.5075000000002</v>
      </c>
      <c r="M355" s="3" cm="1">
        <f t="array" ref="M355">_xlfn.IFS(G355="Paid", L355, G355="Partial", L355*0.5, G355="Open", 0)</f>
        <v>3625.5075000000002</v>
      </c>
      <c r="N355" s="3" cm="1">
        <f t="array" ref="N355">_xlfn.IFS(G355="Open", L355, G355="Partial", L355*0.5, G355="Paid", 0)</f>
        <v>0</v>
      </c>
    </row>
    <row r="356" spans="1:14" x14ac:dyDescent="0.25">
      <c r="A356" t="s">
        <v>360</v>
      </c>
      <c r="B356" t="s">
        <v>810</v>
      </c>
      <c r="C356" s="5">
        <v>45027</v>
      </c>
      <c r="D356" s="5">
        <v>45057</v>
      </c>
      <c r="E356" s="3">
        <v>1132.31</v>
      </c>
      <c r="F356" t="s">
        <v>814</v>
      </c>
      <c r="G356" t="s">
        <v>817</v>
      </c>
      <c r="H356" s="5" t="s">
        <v>825</v>
      </c>
      <c r="I356" s="7">
        <f t="shared" si="5"/>
        <v>1049</v>
      </c>
      <c r="J356" s="13" t="str" cm="1">
        <f t="array" ref="J356">_xlfn.IFS(I356=0, "Settled", I356&lt;=30, "1-30", I356&lt;=90, "31-90", I356&lt;=365, "91-365", I356&gt;365, "1 Year+")</f>
        <v>1 Year+</v>
      </c>
      <c r="K356" t="s">
        <v>819</v>
      </c>
      <c r="L356" s="3" cm="1">
        <f t="array" ref="L356">_xlfn.IFS(F356="AUD",E356*$V$2,F356="CAD",E356*$V$3,F356="EUR",E356*$V$4,F356="GBP",E356*$V$5,F356="USD",E356*$V$6)</f>
        <v>1132.31</v>
      </c>
      <c r="M356" s="3" cm="1">
        <f t="array" ref="M356">_xlfn.IFS(G356="Paid", L356, G356="Partial", L356*0.5, G356="Open", 0)</f>
        <v>566.15499999999997</v>
      </c>
      <c r="N356" s="3" cm="1">
        <f t="array" ref="N356">_xlfn.IFS(G356="Open", L356, G356="Partial", L356*0.5, G356="Paid", 0)</f>
        <v>566.15499999999997</v>
      </c>
    </row>
    <row r="357" spans="1:14" x14ac:dyDescent="0.25">
      <c r="A357" t="s">
        <v>361</v>
      </c>
      <c r="B357" t="s">
        <v>810</v>
      </c>
      <c r="C357" s="5">
        <v>45797</v>
      </c>
      <c r="D357" s="5">
        <v>45827</v>
      </c>
      <c r="E357" s="3">
        <v>239.21</v>
      </c>
      <c r="F357" t="s">
        <v>811</v>
      </c>
      <c r="G357" t="s">
        <v>817</v>
      </c>
      <c r="H357" s="5" t="s">
        <v>825</v>
      </c>
      <c r="I357" s="7">
        <f t="shared" si="5"/>
        <v>279</v>
      </c>
      <c r="J357" s="13" t="str" cm="1">
        <f t="array" ref="J357">_xlfn.IFS(I357=0, "Settled", I357&lt;=30, "1-30", I357&lt;=90, "31-90", I357&lt;=365, "91-365", I357&gt;365, "1 Year+")</f>
        <v>91-365</v>
      </c>
      <c r="K357" t="s">
        <v>819</v>
      </c>
      <c r="L357" s="3" cm="1">
        <f t="array" ref="L357">_xlfn.IFS(F357="AUD",E357*$V$2,F357="CAD",E357*$V$3,F357="EUR",E357*$V$4,F357="GBP",E357*$V$5,F357="USD",E357*$V$6)</f>
        <v>205.72059999999999</v>
      </c>
      <c r="M357" s="3" cm="1">
        <f t="array" ref="M357">_xlfn.IFS(G357="Paid", L357, G357="Partial", L357*0.5, G357="Open", 0)</f>
        <v>102.8603</v>
      </c>
      <c r="N357" s="3" cm="1">
        <f t="array" ref="N357">_xlfn.IFS(G357="Open", L357, G357="Partial", L357*0.5, G357="Paid", 0)</f>
        <v>102.8603</v>
      </c>
    </row>
    <row r="358" spans="1:14" x14ac:dyDescent="0.25">
      <c r="A358" t="s">
        <v>362</v>
      </c>
      <c r="B358" t="s">
        <v>806</v>
      </c>
      <c r="C358" s="5">
        <v>45190</v>
      </c>
      <c r="D358" s="5">
        <v>45220</v>
      </c>
      <c r="E358" s="3">
        <v>1990.65</v>
      </c>
      <c r="F358" t="s">
        <v>811</v>
      </c>
      <c r="G358" t="s">
        <v>816</v>
      </c>
      <c r="H358" s="5" t="s">
        <v>825</v>
      </c>
      <c r="I358" s="7">
        <f t="shared" si="5"/>
        <v>886</v>
      </c>
      <c r="J358" s="13" t="str" cm="1">
        <f t="array" ref="J358">_xlfn.IFS(I358=0, "Settled", I358&lt;=30, "1-30", I358&lt;=90, "31-90", I358&lt;=365, "91-365", I358&gt;365, "1 Year+")</f>
        <v>1 Year+</v>
      </c>
      <c r="K358" t="s">
        <v>819</v>
      </c>
      <c r="L358" s="3" cm="1">
        <f t="array" ref="L358">_xlfn.IFS(F358="AUD",E358*$V$2,F358="CAD",E358*$V$3,F358="EUR",E358*$V$4,F358="GBP",E358*$V$5,F358="USD",E358*$V$6)</f>
        <v>1711.9590000000001</v>
      </c>
      <c r="M358" s="3" cm="1">
        <f t="array" ref="M358">_xlfn.IFS(G358="Paid", L358, G358="Partial", L358*0.5, G358="Open", 0)</f>
        <v>0</v>
      </c>
      <c r="N358" s="3" cm="1">
        <f t="array" ref="N358">_xlfn.IFS(G358="Open", L358, G358="Partial", L358*0.5, G358="Paid", 0)</f>
        <v>1711.9590000000001</v>
      </c>
    </row>
    <row r="359" spans="1:14" x14ac:dyDescent="0.25">
      <c r="A359" t="s">
        <v>363</v>
      </c>
      <c r="B359" t="s">
        <v>806</v>
      </c>
      <c r="C359" s="5">
        <v>45160</v>
      </c>
      <c r="D359" s="5">
        <v>45190</v>
      </c>
      <c r="E359" s="3">
        <v>4029.65</v>
      </c>
      <c r="F359" t="s">
        <v>812</v>
      </c>
      <c r="G359" t="s">
        <v>818</v>
      </c>
      <c r="H359" s="5">
        <v>45190</v>
      </c>
      <c r="I359" s="7">
        <f t="shared" si="5"/>
        <v>0</v>
      </c>
      <c r="J359" s="13" t="str" cm="1">
        <f t="array" ref="J359">_xlfn.IFS(I359=0, "Settled", I359&lt;=30, "1-30", I359&lt;=90, "31-90", I359&lt;=365, "91-365", I359&gt;365, "1 Year+")</f>
        <v>Settled</v>
      </c>
      <c r="K359" t="s">
        <v>819</v>
      </c>
      <c r="L359" s="3" cm="1">
        <f t="array" ref="L359">_xlfn.IFS(F359="AUD",E359*$V$2,F359="CAD",E359*$V$3,F359="EUR",E359*$V$4,F359="GBP",E359*$V$5,F359="USD",E359*$V$6)</f>
        <v>5560.9169999999995</v>
      </c>
      <c r="M359" s="3" cm="1">
        <f t="array" ref="M359">_xlfn.IFS(G359="Paid", L359, G359="Partial", L359*0.5, G359="Open", 0)</f>
        <v>5560.9169999999995</v>
      </c>
      <c r="N359" s="3" cm="1">
        <f t="array" ref="N359">_xlfn.IFS(G359="Open", L359, G359="Partial", L359*0.5, G359="Paid", 0)</f>
        <v>0</v>
      </c>
    </row>
    <row r="360" spans="1:14" x14ac:dyDescent="0.25">
      <c r="A360" t="s">
        <v>364</v>
      </c>
      <c r="B360" t="s">
        <v>807</v>
      </c>
      <c r="C360" s="5">
        <v>45545</v>
      </c>
      <c r="D360" s="5">
        <v>45575</v>
      </c>
      <c r="E360" s="3">
        <v>1667.66</v>
      </c>
      <c r="F360" t="s">
        <v>815</v>
      </c>
      <c r="G360" t="s">
        <v>816</v>
      </c>
      <c r="H360" s="5" t="s">
        <v>825</v>
      </c>
      <c r="I360" s="7">
        <f t="shared" si="5"/>
        <v>531</v>
      </c>
      <c r="J360" s="13" t="str" cm="1">
        <f t="array" ref="J360">_xlfn.IFS(I360=0, "Settled", I360&lt;=30, "1-30", I360&lt;=90, "31-90", I360&lt;=365, "91-365", I360&gt;365, "1 Year+")</f>
        <v>1 Year+</v>
      </c>
      <c r="K360" t="s">
        <v>819</v>
      </c>
      <c r="L360" s="3" cm="1">
        <f t="array" ref="L360">_xlfn.IFS(F360="AUD",E360*$V$2,F360="CAD",E360*$V$3,F360="EUR",E360*$V$4,F360="GBP",E360*$V$5,F360="USD",E360*$V$6)</f>
        <v>2418.107</v>
      </c>
      <c r="M360" s="3" cm="1">
        <f t="array" ref="M360">_xlfn.IFS(G360="Paid", L360, G360="Partial", L360*0.5, G360="Open", 0)</f>
        <v>0</v>
      </c>
      <c r="N360" s="3" cm="1">
        <f t="array" ref="N360">_xlfn.IFS(G360="Open", L360, G360="Partial", L360*0.5, G360="Paid", 0)</f>
        <v>2418.107</v>
      </c>
    </row>
    <row r="361" spans="1:14" x14ac:dyDescent="0.25">
      <c r="A361" t="s">
        <v>365</v>
      </c>
      <c r="B361" t="s">
        <v>807</v>
      </c>
      <c r="C361" s="5">
        <v>45325</v>
      </c>
      <c r="D361" s="5">
        <v>45355</v>
      </c>
      <c r="E361" s="3">
        <v>687.7</v>
      </c>
      <c r="F361" t="s">
        <v>815</v>
      </c>
      <c r="G361" t="s">
        <v>816</v>
      </c>
      <c r="H361" s="5" t="s">
        <v>825</v>
      </c>
      <c r="I361" s="7">
        <f t="shared" si="5"/>
        <v>751</v>
      </c>
      <c r="J361" s="13" t="str" cm="1">
        <f t="array" ref="J361">_xlfn.IFS(I361=0, "Settled", I361&lt;=30, "1-30", I361&lt;=90, "31-90", I361&lt;=365, "91-365", I361&gt;365, "1 Year+")</f>
        <v>1 Year+</v>
      </c>
      <c r="K361" t="s">
        <v>819</v>
      </c>
      <c r="L361" s="3" cm="1">
        <f t="array" ref="L361">_xlfn.IFS(F361="AUD",E361*$V$2,F361="CAD",E361*$V$3,F361="EUR",E361*$V$4,F361="GBP",E361*$V$5,F361="USD",E361*$V$6)</f>
        <v>997.16500000000008</v>
      </c>
      <c r="M361" s="3" cm="1">
        <f t="array" ref="M361">_xlfn.IFS(G361="Paid", L361, G361="Partial", L361*0.5, G361="Open", 0)</f>
        <v>0</v>
      </c>
      <c r="N361" s="3" cm="1">
        <f t="array" ref="N361">_xlfn.IFS(G361="Open", L361, G361="Partial", L361*0.5, G361="Paid", 0)</f>
        <v>997.16500000000008</v>
      </c>
    </row>
    <row r="362" spans="1:14" x14ac:dyDescent="0.25">
      <c r="A362" t="s">
        <v>366</v>
      </c>
      <c r="B362" t="s">
        <v>809</v>
      </c>
      <c r="C362" s="5">
        <v>45174</v>
      </c>
      <c r="D362" s="5">
        <v>45204</v>
      </c>
      <c r="E362" s="3">
        <v>1555.59</v>
      </c>
      <c r="F362" t="s">
        <v>814</v>
      </c>
      <c r="G362" t="s">
        <v>818</v>
      </c>
      <c r="H362" s="5">
        <v>45204</v>
      </c>
      <c r="I362" s="7">
        <f t="shared" si="5"/>
        <v>0</v>
      </c>
      <c r="J362" s="13" t="str" cm="1">
        <f t="array" ref="J362">_xlfn.IFS(I362=0, "Settled", I362&lt;=30, "1-30", I362&lt;=90, "31-90", I362&lt;=365, "91-365", I362&gt;365, "1 Year+")</f>
        <v>Settled</v>
      </c>
      <c r="K362" t="s">
        <v>819</v>
      </c>
      <c r="L362" s="3" cm="1">
        <f t="array" ref="L362">_xlfn.IFS(F362="AUD",E362*$V$2,F362="CAD",E362*$V$3,F362="EUR",E362*$V$4,F362="GBP",E362*$V$5,F362="USD",E362*$V$6)</f>
        <v>1555.59</v>
      </c>
      <c r="M362" s="3" cm="1">
        <f t="array" ref="M362">_xlfn.IFS(G362="Paid", L362, G362="Partial", L362*0.5, G362="Open", 0)</f>
        <v>1555.59</v>
      </c>
      <c r="N362" s="3" cm="1">
        <f t="array" ref="N362">_xlfn.IFS(G362="Open", L362, G362="Partial", L362*0.5, G362="Paid", 0)</f>
        <v>0</v>
      </c>
    </row>
    <row r="363" spans="1:14" x14ac:dyDescent="0.25">
      <c r="A363" t="s">
        <v>367</v>
      </c>
      <c r="B363" t="s">
        <v>806</v>
      </c>
      <c r="C363" s="5">
        <v>45298</v>
      </c>
      <c r="D363" s="5">
        <v>45328</v>
      </c>
      <c r="E363" s="3">
        <v>937.69</v>
      </c>
      <c r="F363" t="s">
        <v>815</v>
      </c>
      <c r="G363" t="s">
        <v>818</v>
      </c>
      <c r="H363" s="5">
        <v>45328</v>
      </c>
      <c r="I363" s="7">
        <f t="shared" si="5"/>
        <v>0</v>
      </c>
      <c r="J363" s="13" t="str" cm="1">
        <f t="array" ref="J363">_xlfn.IFS(I363=0, "Settled", I363&lt;=30, "1-30", I363&lt;=90, "31-90", I363&lt;=365, "91-365", I363&gt;365, "1 Year+")</f>
        <v>Settled</v>
      </c>
      <c r="K363" t="s">
        <v>819</v>
      </c>
      <c r="L363" s="3" cm="1">
        <f t="array" ref="L363">_xlfn.IFS(F363="AUD",E363*$V$2,F363="CAD",E363*$V$3,F363="EUR",E363*$V$4,F363="GBP",E363*$V$5,F363="USD",E363*$V$6)</f>
        <v>1359.6505</v>
      </c>
      <c r="M363" s="3" cm="1">
        <f t="array" ref="M363">_xlfn.IFS(G363="Paid", L363, G363="Partial", L363*0.5, G363="Open", 0)</f>
        <v>1359.6505</v>
      </c>
      <c r="N363" s="3" cm="1">
        <f t="array" ref="N363">_xlfn.IFS(G363="Open", L363, G363="Partial", L363*0.5, G363="Paid", 0)</f>
        <v>0</v>
      </c>
    </row>
    <row r="364" spans="1:14" x14ac:dyDescent="0.25">
      <c r="A364" t="s">
        <v>368</v>
      </c>
      <c r="B364" t="s">
        <v>808</v>
      </c>
      <c r="C364" s="5">
        <v>45307</v>
      </c>
      <c r="D364" s="5">
        <v>45337</v>
      </c>
      <c r="E364" s="3">
        <v>2005.72</v>
      </c>
      <c r="F364" t="s">
        <v>814</v>
      </c>
      <c r="G364" t="s">
        <v>818</v>
      </c>
      <c r="H364" s="5">
        <v>45337</v>
      </c>
      <c r="I364" s="7">
        <f t="shared" si="5"/>
        <v>0</v>
      </c>
      <c r="J364" s="13" t="str" cm="1">
        <f t="array" ref="J364">_xlfn.IFS(I364=0, "Settled", I364&lt;=30, "1-30", I364&lt;=90, "31-90", I364&lt;=365, "91-365", I364&gt;365, "1 Year+")</f>
        <v>Settled</v>
      </c>
      <c r="K364" t="s">
        <v>819</v>
      </c>
      <c r="L364" s="3" cm="1">
        <f t="array" ref="L364">_xlfn.IFS(F364="AUD",E364*$V$2,F364="CAD",E364*$V$3,F364="EUR",E364*$V$4,F364="GBP",E364*$V$5,F364="USD",E364*$V$6)</f>
        <v>2005.72</v>
      </c>
      <c r="M364" s="3" cm="1">
        <f t="array" ref="M364">_xlfn.IFS(G364="Paid", L364, G364="Partial", L364*0.5, G364="Open", 0)</f>
        <v>2005.72</v>
      </c>
      <c r="N364" s="3" cm="1">
        <f t="array" ref="N364">_xlfn.IFS(G364="Open", L364, G364="Partial", L364*0.5, G364="Paid", 0)</f>
        <v>0</v>
      </c>
    </row>
    <row r="365" spans="1:14" x14ac:dyDescent="0.25">
      <c r="A365" t="s">
        <v>369</v>
      </c>
      <c r="B365" t="s">
        <v>806</v>
      </c>
      <c r="C365" s="5">
        <v>45306</v>
      </c>
      <c r="D365" s="5">
        <v>45336</v>
      </c>
      <c r="E365" s="3">
        <v>4353.25</v>
      </c>
      <c r="F365" t="s">
        <v>812</v>
      </c>
      <c r="G365" t="s">
        <v>818</v>
      </c>
      <c r="H365" s="5">
        <v>45336</v>
      </c>
      <c r="I365" s="7">
        <f t="shared" si="5"/>
        <v>0</v>
      </c>
      <c r="J365" s="13" t="str" cm="1">
        <f t="array" ref="J365">_xlfn.IFS(I365=0, "Settled", I365&lt;=30, "1-30", I365&lt;=90, "31-90", I365&lt;=365, "91-365", I365&gt;365, "1 Year+")</f>
        <v>Settled</v>
      </c>
      <c r="K365" t="s">
        <v>819</v>
      </c>
      <c r="L365" s="3" cm="1">
        <f t="array" ref="L365">_xlfn.IFS(F365="AUD",E365*$V$2,F365="CAD",E365*$V$3,F365="EUR",E365*$V$4,F365="GBP",E365*$V$5,F365="USD",E365*$V$6)</f>
        <v>6007.4849999999997</v>
      </c>
      <c r="M365" s="3" cm="1">
        <f t="array" ref="M365">_xlfn.IFS(G365="Paid", L365, G365="Partial", L365*0.5, G365="Open", 0)</f>
        <v>6007.4849999999997</v>
      </c>
      <c r="N365" s="3" cm="1">
        <f t="array" ref="N365">_xlfn.IFS(G365="Open", L365, G365="Partial", L365*0.5, G365="Paid", 0)</f>
        <v>0</v>
      </c>
    </row>
    <row r="366" spans="1:14" x14ac:dyDescent="0.25">
      <c r="A366" t="s">
        <v>370</v>
      </c>
      <c r="B366" t="s">
        <v>806</v>
      </c>
      <c r="C366" s="5">
        <v>45653</v>
      </c>
      <c r="D366" s="5">
        <v>45683</v>
      </c>
      <c r="E366" s="3">
        <v>2122.23</v>
      </c>
      <c r="F366" t="s">
        <v>815</v>
      </c>
      <c r="G366" t="s">
        <v>816</v>
      </c>
      <c r="H366" s="5" t="s">
        <v>825</v>
      </c>
      <c r="I366" s="7">
        <f t="shared" si="5"/>
        <v>423</v>
      </c>
      <c r="J366" s="13" t="str" cm="1">
        <f t="array" ref="J366">_xlfn.IFS(I366=0, "Settled", I366&lt;=30, "1-30", I366&lt;=90, "31-90", I366&lt;=365, "91-365", I366&gt;365, "1 Year+")</f>
        <v>1 Year+</v>
      </c>
      <c r="K366" t="s">
        <v>819</v>
      </c>
      <c r="L366" s="3" cm="1">
        <f t="array" ref="L366">_xlfn.IFS(F366="AUD",E366*$V$2,F366="CAD",E366*$V$3,F366="EUR",E366*$V$4,F366="GBP",E366*$V$5,F366="USD",E366*$V$6)</f>
        <v>3077.2334999999998</v>
      </c>
      <c r="M366" s="3" cm="1">
        <f t="array" ref="M366">_xlfn.IFS(G366="Paid", L366, G366="Partial", L366*0.5, G366="Open", 0)</f>
        <v>0</v>
      </c>
      <c r="N366" s="3" cm="1">
        <f t="array" ref="N366">_xlfn.IFS(G366="Open", L366, G366="Partial", L366*0.5, G366="Paid", 0)</f>
        <v>3077.2334999999998</v>
      </c>
    </row>
    <row r="367" spans="1:14" x14ac:dyDescent="0.25">
      <c r="A367" t="s">
        <v>371</v>
      </c>
      <c r="B367" t="s">
        <v>810</v>
      </c>
      <c r="C367" s="5">
        <v>45756</v>
      </c>
      <c r="D367" s="5">
        <v>45786</v>
      </c>
      <c r="E367" s="3">
        <v>3957.87</v>
      </c>
      <c r="F367" t="s">
        <v>812</v>
      </c>
      <c r="G367" t="s">
        <v>817</v>
      </c>
      <c r="H367" s="5" t="s">
        <v>825</v>
      </c>
      <c r="I367" s="7">
        <f t="shared" si="5"/>
        <v>320</v>
      </c>
      <c r="J367" s="13" t="str" cm="1">
        <f t="array" ref="J367">_xlfn.IFS(I367=0, "Settled", I367&lt;=30, "1-30", I367&lt;=90, "31-90", I367&lt;=365, "91-365", I367&gt;365, "1 Year+")</f>
        <v>91-365</v>
      </c>
      <c r="K367" t="s">
        <v>819</v>
      </c>
      <c r="L367" s="3" cm="1">
        <f t="array" ref="L367">_xlfn.IFS(F367="AUD",E367*$V$2,F367="CAD",E367*$V$3,F367="EUR",E367*$V$4,F367="GBP",E367*$V$5,F367="USD",E367*$V$6)</f>
        <v>5461.8605999999991</v>
      </c>
      <c r="M367" s="3" cm="1">
        <f t="array" ref="M367">_xlfn.IFS(G367="Paid", L367, G367="Partial", L367*0.5, G367="Open", 0)</f>
        <v>2730.9302999999995</v>
      </c>
      <c r="N367" s="3" cm="1">
        <f t="array" ref="N367">_xlfn.IFS(G367="Open", L367, G367="Partial", L367*0.5, G367="Paid", 0)</f>
        <v>2730.9302999999995</v>
      </c>
    </row>
    <row r="368" spans="1:14" x14ac:dyDescent="0.25">
      <c r="A368" t="s">
        <v>372</v>
      </c>
      <c r="B368" t="s">
        <v>806</v>
      </c>
      <c r="C368" s="5">
        <v>45495</v>
      </c>
      <c r="D368" s="5">
        <v>45525</v>
      </c>
      <c r="E368" s="3">
        <v>3266.74</v>
      </c>
      <c r="F368" t="s">
        <v>815</v>
      </c>
      <c r="G368" t="s">
        <v>817</v>
      </c>
      <c r="H368" s="5" t="s">
        <v>825</v>
      </c>
      <c r="I368" s="7">
        <f t="shared" si="5"/>
        <v>581</v>
      </c>
      <c r="J368" s="13" t="str" cm="1">
        <f t="array" ref="J368">_xlfn.IFS(I368=0, "Settled", I368&lt;=30, "1-30", I368&lt;=90, "31-90", I368&lt;=365, "91-365", I368&gt;365, "1 Year+")</f>
        <v>1 Year+</v>
      </c>
      <c r="K368" t="s">
        <v>819</v>
      </c>
      <c r="L368" s="3" cm="1">
        <f t="array" ref="L368">_xlfn.IFS(F368="AUD",E368*$V$2,F368="CAD",E368*$V$3,F368="EUR",E368*$V$4,F368="GBP",E368*$V$5,F368="USD",E368*$V$6)</f>
        <v>4736.7729999999992</v>
      </c>
      <c r="M368" s="3" cm="1">
        <f t="array" ref="M368">_xlfn.IFS(G368="Paid", L368, G368="Partial", L368*0.5, G368="Open", 0)</f>
        <v>2368.3864999999996</v>
      </c>
      <c r="N368" s="3" cm="1">
        <f t="array" ref="N368">_xlfn.IFS(G368="Open", L368, G368="Partial", L368*0.5, G368="Paid", 0)</f>
        <v>2368.3864999999996</v>
      </c>
    </row>
    <row r="369" spans="1:14" x14ac:dyDescent="0.25">
      <c r="A369" t="s">
        <v>373</v>
      </c>
      <c r="B369" t="s">
        <v>810</v>
      </c>
      <c r="C369" s="5">
        <v>45411</v>
      </c>
      <c r="D369" s="5">
        <v>45441</v>
      </c>
      <c r="E369" s="3">
        <v>4729.29</v>
      </c>
      <c r="F369" t="s">
        <v>815</v>
      </c>
      <c r="G369" t="s">
        <v>817</v>
      </c>
      <c r="H369" s="5" t="s">
        <v>825</v>
      </c>
      <c r="I369" s="7">
        <f t="shared" si="5"/>
        <v>665</v>
      </c>
      <c r="J369" s="13" t="str" cm="1">
        <f t="array" ref="J369">_xlfn.IFS(I369=0, "Settled", I369&lt;=30, "1-30", I369&lt;=90, "31-90", I369&lt;=365, "91-365", I369&gt;365, "1 Year+")</f>
        <v>1 Year+</v>
      </c>
      <c r="K369" t="s">
        <v>819</v>
      </c>
      <c r="L369" s="3" cm="1">
        <f t="array" ref="L369">_xlfn.IFS(F369="AUD",E369*$V$2,F369="CAD",E369*$V$3,F369="EUR",E369*$V$4,F369="GBP",E369*$V$5,F369="USD",E369*$V$6)</f>
        <v>6857.4704999999994</v>
      </c>
      <c r="M369" s="3" cm="1">
        <f t="array" ref="M369">_xlfn.IFS(G369="Paid", L369, G369="Partial", L369*0.5, G369="Open", 0)</f>
        <v>3428.7352499999997</v>
      </c>
      <c r="N369" s="3" cm="1">
        <f t="array" ref="N369">_xlfn.IFS(G369="Open", L369, G369="Partial", L369*0.5, G369="Paid", 0)</f>
        <v>3428.7352499999997</v>
      </c>
    </row>
    <row r="370" spans="1:14" x14ac:dyDescent="0.25">
      <c r="A370" t="s">
        <v>374</v>
      </c>
      <c r="B370" t="s">
        <v>808</v>
      </c>
      <c r="C370" s="5">
        <v>45731</v>
      </c>
      <c r="D370" s="5">
        <v>45761</v>
      </c>
      <c r="E370" s="3">
        <v>1404.93</v>
      </c>
      <c r="F370" t="s">
        <v>815</v>
      </c>
      <c r="G370" t="s">
        <v>817</v>
      </c>
      <c r="H370" s="5" t="s">
        <v>825</v>
      </c>
      <c r="I370" s="7">
        <f t="shared" si="5"/>
        <v>345</v>
      </c>
      <c r="J370" s="13" t="str" cm="1">
        <f t="array" ref="J370">_xlfn.IFS(I370=0, "Settled", I370&lt;=30, "1-30", I370&lt;=90, "31-90", I370&lt;=365, "91-365", I370&gt;365, "1 Year+")</f>
        <v>91-365</v>
      </c>
      <c r="K370" t="s">
        <v>819</v>
      </c>
      <c r="L370" s="3" cm="1">
        <f t="array" ref="L370">_xlfn.IFS(F370="AUD",E370*$V$2,F370="CAD",E370*$V$3,F370="EUR",E370*$V$4,F370="GBP",E370*$V$5,F370="USD",E370*$V$6)</f>
        <v>2037.1485</v>
      </c>
      <c r="M370" s="3" cm="1">
        <f t="array" ref="M370">_xlfn.IFS(G370="Paid", L370, G370="Partial", L370*0.5, G370="Open", 0)</f>
        <v>1018.57425</v>
      </c>
      <c r="N370" s="3" cm="1">
        <f t="array" ref="N370">_xlfn.IFS(G370="Open", L370, G370="Partial", L370*0.5, G370="Paid", 0)</f>
        <v>1018.57425</v>
      </c>
    </row>
    <row r="371" spans="1:14" x14ac:dyDescent="0.25">
      <c r="A371" t="s">
        <v>375</v>
      </c>
      <c r="B371" t="s">
        <v>810</v>
      </c>
      <c r="C371" s="5">
        <v>45631</v>
      </c>
      <c r="D371" s="5">
        <v>45661</v>
      </c>
      <c r="E371" s="3">
        <v>2397.5100000000002</v>
      </c>
      <c r="F371" t="s">
        <v>812</v>
      </c>
      <c r="G371" t="s">
        <v>817</v>
      </c>
      <c r="H371" s="5" t="s">
        <v>825</v>
      </c>
      <c r="I371" s="7">
        <f t="shared" si="5"/>
        <v>445</v>
      </c>
      <c r="J371" s="13" t="str" cm="1">
        <f t="array" ref="J371">_xlfn.IFS(I371=0, "Settled", I371&lt;=30, "1-30", I371&lt;=90, "31-90", I371&lt;=365, "91-365", I371&gt;365, "1 Year+")</f>
        <v>1 Year+</v>
      </c>
      <c r="K371" t="s">
        <v>819</v>
      </c>
      <c r="L371" s="3" cm="1">
        <f t="array" ref="L371">_xlfn.IFS(F371="AUD",E371*$V$2,F371="CAD",E371*$V$3,F371="EUR",E371*$V$4,F371="GBP",E371*$V$5,F371="USD",E371*$V$6)</f>
        <v>3308.5637999999999</v>
      </c>
      <c r="M371" s="3" cm="1">
        <f t="array" ref="M371">_xlfn.IFS(G371="Paid", L371, G371="Partial", L371*0.5, G371="Open", 0)</f>
        <v>1654.2819</v>
      </c>
      <c r="N371" s="3" cm="1">
        <f t="array" ref="N371">_xlfn.IFS(G371="Open", L371, G371="Partial", L371*0.5, G371="Paid", 0)</f>
        <v>1654.2819</v>
      </c>
    </row>
    <row r="372" spans="1:14" x14ac:dyDescent="0.25">
      <c r="A372" t="s">
        <v>376</v>
      </c>
      <c r="B372" t="s">
        <v>810</v>
      </c>
      <c r="C372" s="5">
        <v>45005</v>
      </c>
      <c r="D372" s="5">
        <v>45035</v>
      </c>
      <c r="E372" s="3">
        <v>3324.14</v>
      </c>
      <c r="F372" t="s">
        <v>815</v>
      </c>
      <c r="G372" t="s">
        <v>818</v>
      </c>
      <c r="H372" s="5">
        <v>45035</v>
      </c>
      <c r="I372" s="7">
        <f t="shared" si="5"/>
        <v>0</v>
      </c>
      <c r="J372" s="13" t="str" cm="1">
        <f t="array" ref="J372">_xlfn.IFS(I372=0, "Settled", I372&lt;=30, "1-30", I372&lt;=90, "31-90", I372&lt;=365, "91-365", I372&gt;365, "1 Year+")</f>
        <v>Settled</v>
      </c>
      <c r="K372" t="s">
        <v>819</v>
      </c>
      <c r="L372" s="3" cm="1">
        <f t="array" ref="L372">_xlfn.IFS(F372="AUD",E372*$V$2,F372="CAD",E372*$V$3,F372="EUR",E372*$V$4,F372="GBP",E372*$V$5,F372="USD",E372*$V$6)</f>
        <v>4820.0029999999997</v>
      </c>
      <c r="M372" s="3" cm="1">
        <f t="array" ref="M372">_xlfn.IFS(G372="Paid", L372, G372="Partial", L372*0.5, G372="Open", 0)</f>
        <v>4820.0029999999997</v>
      </c>
      <c r="N372" s="3" cm="1">
        <f t="array" ref="N372">_xlfn.IFS(G372="Open", L372, G372="Partial", L372*0.5, G372="Paid", 0)</f>
        <v>0</v>
      </c>
    </row>
    <row r="373" spans="1:14" x14ac:dyDescent="0.25">
      <c r="A373" t="s">
        <v>377</v>
      </c>
      <c r="B373" t="s">
        <v>809</v>
      </c>
      <c r="C373" s="5">
        <v>45290</v>
      </c>
      <c r="D373" s="5">
        <v>45320</v>
      </c>
      <c r="E373" s="3">
        <v>4000.08</v>
      </c>
      <c r="F373" t="s">
        <v>813</v>
      </c>
      <c r="G373" t="s">
        <v>816</v>
      </c>
      <c r="H373" s="5" t="s">
        <v>825</v>
      </c>
      <c r="I373" s="7">
        <f t="shared" si="5"/>
        <v>786</v>
      </c>
      <c r="J373" s="13" t="str" cm="1">
        <f t="array" ref="J373">_xlfn.IFS(I373=0, "Settled", I373&lt;=30, "1-30", I373&lt;=90, "31-90", I373&lt;=365, "91-365", I373&gt;365, "1 Year+")</f>
        <v>1 Year+</v>
      </c>
      <c r="K373" t="s">
        <v>819</v>
      </c>
      <c r="L373" s="3" cm="1">
        <f t="array" ref="L373">_xlfn.IFS(F373="AUD",E373*$V$2,F373="CAD",E373*$V$3,F373="EUR",E373*$V$4,F373="GBP",E373*$V$5,F373="USD",E373*$V$6)</f>
        <v>3000.06</v>
      </c>
      <c r="M373" s="3" cm="1">
        <f t="array" ref="M373">_xlfn.IFS(G373="Paid", L373, G373="Partial", L373*0.5, G373="Open", 0)</f>
        <v>0</v>
      </c>
      <c r="N373" s="3" cm="1">
        <f t="array" ref="N373">_xlfn.IFS(G373="Open", L373, G373="Partial", L373*0.5, G373="Paid", 0)</f>
        <v>3000.06</v>
      </c>
    </row>
    <row r="374" spans="1:14" x14ac:dyDescent="0.25">
      <c r="A374" t="s">
        <v>378</v>
      </c>
      <c r="B374" t="s">
        <v>809</v>
      </c>
      <c r="C374" s="5">
        <v>45788</v>
      </c>
      <c r="D374" s="5">
        <v>45818</v>
      </c>
      <c r="E374" s="3">
        <v>692.78</v>
      </c>
      <c r="F374" t="s">
        <v>811</v>
      </c>
      <c r="G374" t="s">
        <v>818</v>
      </c>
      <c r="H374" s="5">
        <v>45818</v>
      </c>
      <c r="I374" s="7">
        <f t="shared" si="5"/>
        <v>0</v>
      </c>
      <c r="J374" s="13" t="str" cm="1">
        <f t="array" ref="J374">_xlfn.IFS(I374=0, "Settled", I374&lt;=30, "1-30", I374&lt;=90, "31-90", I374&lt;=365, "91-365", I374&gt;365, "1 Year+")</f>
        <v>Settled</v>
      </c>
      <c r="K374" t="s">
        <v>819</v>
      </c>
      <c r="L374" s="3" cm="1">
        <f t="array" ref="L374">_xlfn.IFS(F374="AUD",E374*$V$2,F374="CAD",E374*$V$3,F374="EUR",E374*$V$4,F374="GBP",E374*$V$5,F374="USD",E374*$V$6)</f>
        <v>595.79079999999999</v>
      </c>
      <c r="M374" s="3" cm="1">
        <f t="array" ref="M374">_xlfn.IFS(G374="Paid", L374, G374="Partial", L374*0.5, G374="Open", 0)</f>
        <v>595.79079999999999</v>
      </c>
      <c r="N374" s="3" cm="1">
        <f t="array" ref="N374">_xlfn.IFS(G374="Open", L374, G374="Partial", L374*0.5, G374="Paid", 0)</f>
        <v>0</v>
      </c>
    </row>
    <row r="375" spans="1:14" x14ac:dyDescent="0.25">
      <c r="A375" t="s">
        <v>379</v>
      </c>
      <c r="B375" t="s">
        <v>808</v>
      </c>
      <c r="C375" s="5">
        <v>45066</v>
      </c>
      <c r="D375" s="5">
        <v>45096</v>
      </c>
      <c r="E375" s="3">
        <v>485.69</v>
      </c>
      <c r="F375" t="s">
        <v>811</v>
      </c>
      <c r="G375" t="s">
        <v>817</v>
      </c>
      <c r="H375" s="5" t="s">
        <v>825</v>
      </c>
      <c r="I375" s="7">
        <f t="shared" si="5"/>
        <v>1010</v>
      </c>
      <c r="J375" s="13" t="str" cm="1">
        <f t="array" ref="J375">_xlfn.IFS(I375=0, "Settled", I375&lt;=30, "1-30", I375&lt;=90, "31-90", I375&lt;=365, "91-365", I375&gt;365, "1 Year+")</f>
        <v>1 Year+</v>
      </c>
      <c r="K375" t="s">
        <v>819</v>
      </c>
      <c r="L375" s="3" cm="1">
        <f t="array" ref="L375">_xlfn.IFS(F375="AUD",E375*$V$2,F375="CAD",E375*$V$3,F375="EUR",E375*$V$4,F375="GBP",E375*$V$5,F375="USD",E375*$V$6)</f>
        <v>417.6934</v>
      </c>
      <c r="M375" s="3" cm="1">
        <f t="array" ref="M375">_xlfn.IFS(G375="Paid", L375, G375="Partial", L375*0.5, G375="Open", 0)</f>
        <v>208.8467</v>
      </c>
      <c r="N375" s="3" cm="1">
        <f t="array" ref="N375">_xlfn.IFS(G375="Open", L375, G375="Partial", L375*0.5, G375="Paid", 0)</f>
        <v>208.8467</v>
      </c>
    </row>
    <row r="376" spans="1:14" x14ac:dyDescent="0.25">
      <c r="A376" t="s">
        <v>380</v>
      </c>
      <c r="B376" t="s">
        <v>810</v>
      </c>
      <c r="C376" s="5">
        <v>45168</v>
      </c>
      <c r="D376" s="5">
        <v>45198</v>
      </c>
      <c r="E376" s="3">
        <v>2956.85</v>
      </c>
      <c r="F376" t="s">
        <v>811</v>
      </c>
      <c r="G376" t="s">
        <v>818</v>
      </c>
      <c r="H376" s="5">
        <v>45198</v>
      </c>
      <c r="I376" s="7">
        <f t="shared" si="5"/>
        <v>0</v>
      </c>
      <c r="J376" s="13" t="str" cm="1">
        <f t="array" ref="J376">_xlfn.IFS(I376=0, "Settled", I376&lt;=30, "1-30", I376&lt;=90, "31-90", I376&lt;=365, "91-365", I376&gt;365, "1 Year+")</f>
        <v>Settled</v>
      </c>
      <c r="K376" t="s">
        <v>819</v>
      </c>
      <c r="L376" s="3" cm="1">
        <f t="array" ref="L376">_xlfn.IFS(F376="AUD",E376*$V$2,F376="CAD",E376*$V$3,F376="EUR",E376*$V$4,F376="GBP",E376*$V$5,F376="USD",E376*$V$6)</f>
        <v>2542.8910000000001</v>
      </c>
      <c r="M376" s="3" cm="1">
        <f t="array" ref="M376">_xlfn.IFS(G376="Paid", L376, G376="Partial", L376*0.5, G376="Open", 0)</f>
        <v>2542.8910000000001</v>
      </c>
      <c r="N376" s="3" cm="1">
        <f t="array" ref="N376">_xlfn.IFS(G376="Open", L376, G376="Partial", L376*0.5, G376="Paid", 0)</f>
        <v>0</v>
      </c>
    </row>
    <row r="377" spans="1:14" x14ac:dyDescent="0.25">
      <c r="A377" t="s">
        <v>381</v>
      </c>
      <c r="B377" t="s">
        <v>807</v>
      </c>
      <c r="C377" s="5">
        <v>45233</v>
      </c>
      <c r="D377" s="5">
        <v>45263</v>
      </c>
      <c r="E377" s="3">
        <v>2455.2600000000002</v>
      </c>
      <c r="F377" t="s">
        <v>812</v>
      </c>
      <c r="G377" t="s">
        <v>817</v>
      </c>
      <c r="H377" s="5" t="s">
        <v>825</v>
      </c>
      <c r="I377" s="7">
        <f t="shared" si="5"/>
        <v>843</v>
      </c>
      <c r="J377" s="13" t="str" cm="1">
        <f t="array" ref="J377">_xlfn.IFS(I377=0, "Settled", I377&lt;=30, "1-30", I377&lt;=90, "31-90", I377&lt;=365, "91-365", I377&gt;365, "1 Year+")</f>
        <v>1 Year+</v>
      </c>
      <c r="K377" t="s">
        <v>819</v>
      </c>
      <c r="L377" s="3" cm="1">
        <f t="array" ref="L377">_xlfn.IFS(F377="AUD",E377*$V$2,F377="CAD",E377*$V$3,F377="EUR",E377*$V$4,F377="GBP",E377*$V$5,F377="USD",E377*$V$6)</f>
        <v>3388.2588000000001</v>
      </c>
      <c r="M377" s="3" cm="1">
        <f t="array" ref="M377">_xlfn.IFS(G377="Paid", L377, G377="Partial", L377*0.5, G377="Open", 0)</f>
        <v>1694.1294</v>
      </c>
      <c r="N377" s="3" cm="1">
        <f t="array" ref="N377">_xlfn.IFS(G377="Open", L377, G377="Partial", L377*0.5, G377="Paid", 0)</f>
        <v>1694.1294</v>
      </c>
    </row>
    <row r="378" spans="1:14" x14ac:dyDescent="0.25">
      <c r="A378" t="s">
        <v>382</v>
      </c>
      <c r="B378" t="s">
        <v>808</v>
      </c>
      <c r="C378" s="5">
        <v>44958</v>
      </c>
      <c r="D378" s="5">
        <v>44988</v>
      </c>
      <c r="E378" s="3">
        <v>852.36</v>
      </c>
      <c r="F378" t="s">
        <v>812</v>
      </c>
      <c r="G378" t="s">
        <v>818</v>
      </c>
      <c r="H378" s="5">
        <v>44988</v>
      </c>
      <c r="I378" s="7">
        <f t="shared" si="5"/>
        <v>0</v>
      </c>
      <c r="J378" s="13" t="str" cm="1">
        <f t="array" ref="J378">_xlfn.IFS(I378=0, "Settled", I378&lt;=30, "1-30", I378&lt;=90, "31-90", I378&lt;=365, "91-365", I378&gt;365, "1 Year+")</f>
        <v>Settled</v>
      </c>
      <c r="K378" t="s">
        <v>819</v>
      </c>
      <c r="L378" s="3" cm="1">
        <f t="array" ref="L378">_xlfn.IFS(F378="AUD",E378*$V$2,F378="CAD",E378*$V$3,F378="EUR",E378*$V$4,F378="GBP",E378*$V$5,F378="USD",E378*$V$6)</f>
        <v>1176.2567999999999</v>
      </c>
      <c r="M378" s="3" cm="1">
        <f t="array" ref="M378">_xlfn.IFS(G378="Paid", L378, G378="Partial", L378*0.5, G378="Open", 0)</f>
        <v>1176.2567999999999</v>
      </c>
      <c r="N378" s="3" cm="1">
        <f t="array" ref="N378">_xlfn.IFS(G378="Open", L378, G378="Partial", L378*0.5, G378="Paid", 0)</f>
        <v>0</v>
      </c>
    </row>
    <row r="379" spans="1:14" x14ac:dyDescent="0.25">
      <c r="A379" t="s">
        <v>383</v>
      </c>
      <c r="B379" t="s">
        <v>810</v>
      </c>
      <c r="C379" s="5">
        <v>45129</v>
      </c>
      <c r="D379" s="5">
        <v>45159</v>
      </c>
      <c r="E379" s="3">
        <v>4885.47</v>
      </c>
      <c r="F379" t="s">
        <v>811</v>
      </c>
      <c r="G379" t="s">
        <v>817</v>
      </c>
      <c r="H379" s="5" t="s">
        <v>825</v>
      </c>
      <c r="I379" s="7">
        <f t="shared" si="5"/>
        <v>947</v>
      </c>
      <c r="J379" s="13" t="str" cm="1">
        <f t="array" ref="J379">_xlfn.IFS(I379=0, "Settled", I379&lt;=30, "1-30", I379&lt;=90, "31-90", I379&lt;=365, "91-365", I379&gt;365, "1 Year+")</f>
        <v>1 Year+</v>
      </c>
      <c r="K379" t="s">
        <v>819</v>
      </c>
      <c r="L379" s="3" cm="1">
        <f t="array" ref="L379">_xlfn.IFS(F379="AUD",E379*$V$2,F379="CAD",E379*$V$3,F379="EUR",E379*$V$4,F379="GBP",E379*$V$5,F379="USD",E379*$V$6)</f>
        <v>4201.5042000000003</v>
      </c>
      <c r="M379" s="3" cm="1">
        <f t="array" ref="M379">_xlfn.IFS(G379="Paid", L379, G379="Partial", L379*0.5, G379="Open", 0)</f>
        <v>2100.7521000000002</v>
      </c>
      <c r="N379" s="3" cm="1">
        <f t="array" ref="N379">_xlfn.IFS(G379="Open", L379, G379="Partial", L379*0.5, G379="Paid", 0)</f>
        <v>2100.7521000000002</v>
      </c>
    </row>
    <row r="380" spans="1:14" x14ac:dyDescent="0.25">
      <c r="A380" t="s">
        <v>384</v>
      </c>
      <c r="B380" t="s">
        <v>810</v>
      </c>
      <c r="C380" s="5">
        <v>45521</v>
      </c>
      <c r="D380" s="5">
        <v>45551</v>
      </c>
      <c r="E380" s="3">
        <v>3332.33</v>
      </c>
      <c r="F380" t="s">
        <v>814</v>
      </c>
      <c r="G380" t="s">
        <v>816</v>
      </c>
      <c r="H380" s="5" t="s">
        <v>825</v>
      </c>
      <c r="I380" s="7">
        <f t="shared" si="5"/>
        <v>555</v>
      </c>
      <c r="J380" s="13" t="str" cm="1">
        <f t="array" ref="J380">_xlfn.IFS(I380=0, "Settled", I380&lt;=30, "1-30", I380&lt;=90, "31-90", I380&lt;=365, "91-365", I380&gt;365, "1 Year+")</f>
        <v>1 Year+</v>
      </c>
      <c r="K380" t="s">
        <v>819</v>
      </c>
      <c r="L380" s="3" cm="1">
        <f t="array" ref="L380">_xlfn.IFS(F380="AUD",E380*$V$2,F380="CAD",E380*$V$3,F380="EUR",E380*$V$4,F380="GBP",E380*$V$5,F380="USD",E380*$V$6)</f>
        <v>3332.33</v>
      </c>
      <c r="M380" s="3" cm="1">
        <f t="array" ref="M380">_xlfn.IFS(G380="Paid", L380, G380="Partial", L380*0.5, G380="Open", 0)</f>
        <v>0</v>
      </c>
      <c r="N380" s="3" cm="1">
        <f t="array" ref="N380">_xlfn.IFS(G380="Open", L380, G380="Partial", L380*0.5, G380="Paid", 0)</f>
        <v>3332.33</v>
      </c>
    </row>
    <row r="381" spans="1:14" x14ac:dyDescent="0.25">
      <c r="A381" t="s">
        <v>385</v>
      </c>
      <c r="B381" t="s">
        <v>810</v>
      </c>
      <c r="C381" s="5">
        <v>45170</v>
      </c>
      <c r="D381" s="5">
        <v>45200</v>
      </c>
      <c r="E381" s="3">
        <v>431.39</v>
      </c>
      <c r="F381" t="s">
        <v>814</v>
      </c>
      <c r="G381" t="s">
        <v>818</v>
      </c>
      <c r="H381" s="5">
        <v>45200</v>
      </c>
      <c r="I381" s="7">
        <f t="shared" si="5"/>
        <v>0</v>
      </c>
      <c r="J381" s="13" t="str" cm="1">
        <f t="array" ref="J381">_xlfn.IFS(I381=0, "Settled", I381&lt;=30, "1-30", I381&lt;=90, "31-90", I381&lt;=365, "91-365", I381&gt;365, "1 Year+")</f>
        <v>Settled</v>
      </c>
      <c r="K381" t="s">
        <v>819</v>
      </c>
      <c r="L381" s="3" cm="1">
        <f t="array" ref="L381">_xlfn.IFS(F381="AUD",E381*$V$2,F381="CAD",E381*$V$3,F381="EUR",E381*$V$4,F381="GBP",E381*$V$5,F381="USD",E381*$V$6)</f>
        <v>431.39</v>
      </c>
      <c r="M381" s="3" cm="1">
        <f t="array" ref="M381">_xlfn.IFS(G381="Paid", L381, G381="Partial", L381*0.5, G381="Open", 0)</f>
        <v>431.39</v>
      </c>
      <c r="N381" s="3" cm="1">
        <f t="array" ref="N381">_xlfn.IFS(G381="Open", L381, G381="Partial", L381*0.5, G381="Paid", 0)</f>
        <v>0</v>
      </c>
    </row>
    <row r="382" spans="1:14" x14ac:dyDescent="0.25">
      <c r="A382" t="s">
        <v>386</v>
      </c>
      <c r="B382" t="s">
        <v>806</v>
      </c>
      <c r="C382" s="5">
        <v>45363</v>
      </c>
      <c r="D382" s="5">
        <v>45393</v>
      </c>
      <c r="E382" s="3">
        <v>2201.16</v>
      </c>
      <c r="F382" t="s">
        <v>813</v>
      </c>
      <c r="G382" t="s">
        <v>816</v>
      </c>
      <c r="H382" s="5" t="s">
        <v>825</v>
      </c>
      <c r="I382" s="7">
        <f t="shared" si="5"/>
        <v>713</v>
      </c>
      <c r="J382" s="13" t="str" cm="1">
        <f t="array" ref="J382">_xlfn.IFS(I382=0, "Settled", I382&lt;=30, "1-30", I382&lt;=90, "31-90", I382&lt;=365, "91-365", I382&gt;365, "1 Year+")</f>
        <v>1 Year+</v>
      </c>
      <c r="K382" t="s">
        <v>819</v>
      </c>
      <c r="L382" s="3" cm="1">
        <f t="array" ref="L382">_xlfn.IFS(F382="AUD",E382*$V$2,F382="CAD",E382*$V$3,F382="EUR",E382*$V$4,F382="GBP",E382*$V$5,F382="USD",E382*$V$6)</f>
        <v>1650.87</v>
      </c>
      <c r="M382" s="3" cm="1">
        <f t="array" ref="M382">_xlfn.IFS(G382="Paid", L382, G382="Partial", L382*0.5, G382="Open", 0)</f>
        <v>0</v>
      </c>
      <c r="N382" s="3" cm="1">
        <f t="array" ref="N382">_xlfn.IFS(G382="Open", L382, G382="Partial", L382*0.5, G382="Paid", 0)</f>
        <v>1650.87</v>
      </c>
    </row>
    <row r="383" spans="1:14" x14ac:dyDescent="0.25">
      <c r="A383" t="s">
        <v>387</v>
      </c>
      <c r="B383" t="s">
        <v>809</v>
      </c>
      <c r="C383" s="5">
        <v>45552</v>
      </c>
      <c r="D383" s="5">
        <v>45582</v>
      </c>
      <c r="E383" s="3">
        <v>726.32</v>
      </c>
      <c r="F383" t="s">
        <v>813</v>
      </c>
      <c r="G383" t="s">
        <v>818</v>
      </c>
      <c r="H383" s="5">
        <v>45582</v>
      </c>
      <c r="I383" s="7">
        <f t="shared" si="5"/>
        <v>0</v>
      </c>
      <c r="J383" s="13" t="str" cm="1">
        <f t="array" ref="J383">_xlfn.IFS(I383=0, "Settled", I383&lt;=30, "1-30", I383&lt;=90, "31-90", I383&lt;=365, "91-365", I383&gt;365, "1 Year+")</f>
        <v>Settled</v>
      </c>
      <c r="K383" t="s">
        <v>819</v>
      </c>
      <c r="L383" s="3" cm="1">
        <f t="array" ref="L383">_xlfn.IFS(F383="AUD",E383*$V$2,F383="CAD",E383*$V$3,F383="EUR",E383*$V$4,F383="GBP",E383*$V$5,F383="USD",E383*$V$6)</f>
        <v>544.74</v>
      </c>
      <c r="M383" s="3" cm="1">
        <f t="array" ref="M383">_xlfn.IFS(G383="Paid", L383, G383="Partial", L383*0.5, G383="Open", 0)</f>
        <v>544.74</v>
      </c>
      <c r="N383" s="3" cm="1">
        <f t="array" ref="N383">_xlfn.IFS(G383="Open", L383, G383="Partial", L383*0.5, G383="Paid", 0)</f>
        <v>0</v>
      </c>
    </row>
    <row r="384" spans="1:14" x14ac:dyDescent="0.25">
      <c r="A384" t="s">
        <v>388</v>
      </c>
      <c r="B384" t="s">
        <v>810</v>
      </c>
      <c r="C384" s="5">
        <v>45329</v>
      </c>
      <c r="D384" s="5">
        <v>45359</v>
      </c>
      <c r="E384" s="3">
        <v>4541.1000000000004</v>
      </c>
      <c r="F384" t="s">
        <v>815</v>
      </c>
      <c r="G384" t="s">
        <v>817</v>
      </c>
      <c r="H384" s="5" t="s">
        <v>825</v>
      </c>
      <c r="I384" s="7">
        <f t="shared" si="5"/>
        <v>747</v>
      </c>
      <c r="J384" s="13" t="str" cm="1">
        <f t="array" ref="J384">_xlfn.IFS(I384=0, "Settled", I384&lt;=30, "1-30", I384&lt;=90, "31-90", I384&lt;=365, "91-365", I384&gt;365, "1 Year+")</f>
        <v>1 Year+</v>
      </c>
      <c r="K384" t="s">
        <v>819</v>
      </c>
      <c r="L384" s="3" cm="1">
        <f t="array" ref="L384">_xlfn.IFS(F384="AUD",E384*$V$2,F384="CAD",E384*$V$3,F384="EUR",E384*$V$4,F384="GBP",E384*$V$5,F384="USD",E384*$V$6)</f>
        <v>6584.5950000000003</v>
      </c>
      <c r="M384" s="3" cm="1">
        <f t="array" ref="M384">_xlfn.IFS(G384="Paid", L384, G384="Partial", L384*0.5, G384="Open", 0)</f>
        <v>3292.2975000000001</v>
      </c>
      <c r="N384" s="3" cm="1">
        <f t="array" ref="N384">_xlfn.IFS(G384="Open", L384, G384="Partial", L384*0.5, G384="Paid", 0)</f>
        <v>3292.2975000000001</v>
      </c>
    </row>
    <row r="385" spans="1:14" x14ac:dyDescent="0.25">
      <c r="A385" t="s">
        <v>389</v>
      </c>
      <c r="B385" t="s">
        <v>807</v>
      </c>
      <c r="C385" s="5">
        <v>45797</v>
      </c>
      <c r="D385" s="5">
        <v>45827</v>
      </c>
      <c r="E385" s="3">
        <v>249.48</v>
      </c>
      <c r="F385" t="s">
        <v>812</v>
      </c>
      <c r="G385" t="s">
        <v>818</v>
      </c>
      <c r="H385" s="5">
        <v>45827</v>
      </c>
      <c r="I385" s="7">
        <f t="shared" si="5"/>
        <v>0</v>
      </c>
      <c r="J385" s="13" t="str" cm="1">
        <f t="array" ref="J385">_xlfn.IFS(I385=0, "Settled", I385&lt;=30, "1-30", I385&lt;=90, "31-90", I385&lt;=365, "91-365", I385&gt;365, "1 Year+")</f>
        <v>Settled</v>
      </c>
      <c r="K385" t="s">
        <v>819</v>
      </c>
      <c r="L385" s="3" cm="1">
        <f t="array" ref="L385">_xlfn.IFS(F385="AUD",E385*$V$2,F385="CAD",E385*$V$3,F385="EUR",E385*$V$4,F385="GBP",E385*$V$5,F385="USD",E385*$V$6)</f>
        <v>344.28239999999994</v>
      </c>
      <c r="M385" s="3" cm="1">
        <f t="array" ref="M385">_xlfn.IFS(G385="Paid", L385, G385="Partial", L385*0.5, G385="Open", 0)</f>
        <v>344.28239999999994</v>
      </c>
      <c r="N385" s="3" cm="1">
        <f t="array" ref="N385">_xlfn.IFS(G385="Open", L385, G385="Partial", L385*0.5, G385="Paid", 0)</f>
        <v>0</v>
      </c>
    </row>
    <row r="386" spans="1:14" x14ac:dyDescent="0.25">
      <c r="A386" t="s">
        <v>390</v>
      </c>
      <c r="B386" t="s">
        <v>806</v>
      </c>
      <c r="C386" s="5">
        <v>45284</v>
      </c>
      <c r="D386" s="5">
        <v>45314</v>
      </c>
      <c r="E386" s="3">
        <v>3005.5</v>
      </c>
      <c r="F386" t="s">
        <v>811</v>
      </c>
      <c r="G386" t="s">
        <v>816</v>
      </c>
      <c r="H386" s="5" t="s">
        <v>825</v>
      </c>
      <c r="I386" s="7">
        <f t="shared" si="5"/>
        <v>792</v>
      </c>
      <c r="J386" s="13" t="str" cm="1">
        <f t="array" ref="J386">_xlfn.IFS(I386=0, "Settled", I386&lt;=30, "1-30", I386&lt;=90, "31-90", I386&lt;=365, "91-365", I386&gt;365, "1 Year+")</f>
        <v>1 Year+</v>
      </c>
      <c r="K386" t="s">
        <v>819</v>
      </c>
      <c r="L386" s="3" cm="1">
        <f t="array" ref="L386">_xlfn.IFS(F386="AUD",E386*$V$2,F386="CAD",E386*$V$3,F386="EUR",E386*$V$4,F386="GBP",E386*$V$5,F386="USD",E386*$V$6)</f>
        <v>2584.73</v>
      </c>
      <c r="M386" s="3" cm="1">
        <f t="array" ref="M386">_xlfn.IFS(G386="Paid", L386, G386="Partial", L386*0.5, G386="Open", 0)</f>
        <v>0</v>
      </c>
      <c r="N386" s="3" cm="1">
        <f t="array" ref="N386">_xlfn.IFS(G386="Open", L386, G386="Partial", L386*0.5, G386="Paid", 0)</f>
        <v>2584.73</v>
      </c>
    </row>
    <row r="387" spans="1:14" x14ac:dyDescent="0.25">
      <c r="A387" t="s">
        <v>391</v>
      </c>
      <c r="B387" t="s">
        <v>810</v>
      </c>
      <c r="C387" s="5">
        <v>44930</v>
      </c>
      <c r="D387" s="5">
        <v>44960</v>
      </c>
      <c r="E387" s="3">
        <v>1857.96</v>
      </c>
      <c r="F387" t="s">
        <v>811</v>
      </c>
      <c r="G387" t="s">
        <v>818</v>
      </c>
      <c r="H387" s="5">
        <v>44960</v>
      </c>
      <c r="I387" s="7">
        <f t="shared" ref="I387:I450" si="6">IF(G387="Paid",0,DATE(2026,3,25)-D387)</f>
        <v>0</v>
      </c>
      <c r="J387" s="13" t="str" cm="1">
        <f t="array" ref="J387">_xlfn.IFS(I387=0, "Settled", I387&lt;=30, "1-30", I387&lt;=90, "31-90", I387&lt;=365, "91-365", I387&gt;365, "1 Year+")</f>
        <v>Settled</v>
      </c>
      <c r="K387" t="s">
        <v>819</v>
      </c>
      <c r="L387" s="3" cm="1">
        <f t="array" ref="L387">_xlfn.IFS(F387="AUD",E387*$V$2,F387="CAD",E387*$V$3,F387="EUR",E387*$V$4,F387="GBP",E387*$V$5,F387="USD",E387*$V$6)</f>
        <v>1597.8456000000001</v>
      </c>
      <c r="M387" s="3" cm="1">
        <f t="array" ref="M387">_xlfn.IFS(G387="Paid", L387, G387="Partial", L387*0.5, G387="Open", 0)</f>
        <v>1597.8456000000001</v>
      </c>
      <c r="N387" s="3" cm="1">
        <f t="array" ref="N387">_xlfn.IFS(G387="Open", L387, G387="Partial", L387*0.5, G387="Paid", 0)</f>
        <v>0</v>
      </c>
    </row>
    <row r="388" spans="1:14" x14ac:dyDescent="0.25">
      <c r="A388" t="s">
        <v>392</v>
      </c>
      <c r="B388" t="s">
        <v>810</v>
      </c>
      <c r="C388" s="5">
        <v>45616</v>
      </c>
      <c r="D388" s="5">
        <v>45646</v>
      </c>
      <c r="E388" s="3">
        <v>915.02</v>
      </c>
      <c r="F388" t="s">
        <v>815</v>
      </c>
      <c r="G388" t="s">
        <v>816</v>
      </c>
      <c r="H388" s="5" t="s">
        <v>825</v>
      </c>
      <c r="I388" s="7">
        <f t="shared" si="6"/>
        <v>460</v>
      </c>
      <c r="J388" s="13" t="str" cm="1">
        <f t="array" ref="J388">_xlfn.IFS(I388=0, "Settled", I388&lt;=30, "1-30", I388&lt;=90, "31-90", I388&lt;=365, "91-365", I388&gt;365, "1 Year+")</f>
        <v>1 Year+</v>
      </c>
      <c r="K388" t="s">
        <v>819</v>
      </c>
      <c r="L388" s="3" cm="1">
        <f t="array" ref="L388">_xlfn.IFS(F388="AUD",E388*$V$2,F388="CAD",E388*$V$3,F388="EUR",E388*$V$4,F388="GBP",E388*$V$5,F388="USD",E388*$V$6)</f>
        <v>1326.779</v>
      </c>
      <c r="M388" s="3" cm="1">
        <f t="array" ref="M388">_xlfn.IFS(G388="Paid", L388, G388="Partial", L388*0.5, G388="Open", 0)</f>
        <v>0</v>
      </c>
      <c r="N388" s="3" cm="1">
        <f t="array" ref="N388">_xlfn.IFS(G388="Open", L388, G388="Partial", L388*0.5, G388="Paid", 0)</f>
        <v>1326.779</v>
      </c>
    </row>
    <row r="389" spans="1:14" x14ac:dyDescent="0.25">
      <c r="A389" t="s">
        <v>393</v>
      </c>
      <c r="B389" t="s">
        <v>806</v>
      </c>
      <c r="C389" s="5">
        <v>45480</v>
      </c>
      <c r="D389" s="5">
        <v>45510</v>
      </c>
      <c r="E389" s="3">
        <v>4101.55</v>
      </c>
      <c r="F389" t="s">
        <v>813</v>
      </c>
      <c r="G389" t="s">
        <v>816</v>
      </c>
      <c r="H389" s="5" t="s">
        <v>825</v>
      </c>
      <c r="I389" s="7">
        <f t="shared" si="6"/>
        <v>596</v>
      </c>
      <c r="J389" s="13" t="str" cm="1">
        <f t="array" ref="J389">_xlfn.IFS(I389=0, "Settled", I389&lt;=30, "1-30", I389&lt;=90, "31-90", I389&lt;=365, "91-365", I389&gt;365, "1 Year+")</f>
        <v>1 Year+</v>
      </c>
      <c r="K389" t="s">
        <v>819</v>
      </c>
      <c r="L389" s="3" cm="1">
        <f t="array" ref="L389">_xlfn.IFS(F389="AUD",E389*$V$2,F389="CAD",E389*$V$3,F389="EUR",E389*$V$4,F389="GBP",E389*$V$5,F389="USD",E389*$V$6)</f>
        <v>3076.1625000000004</v>
      </c>
      <c r="M389" s="3" cm="1">
        <f t="array" ref="M389">_xlfn.IFS(G389="Paid", L389, G389="Partial", L389*0.5, G389="Open", 0)</f>
        <v>0</v>
      </c>
      <c r="N389" s="3" cm="1">
        <f t="array" ref="N389">_xlfn.IFS(G389="Open", L389, G389="Partial", L389*0.5, G389="Paid", 0)</f>
        <v>3076.1625000000004</v>
      </c>
    </row>
    <row r="390" spans="1:14" x14ac:dyDescent="0.25">
      <c r="A390" t="s">
        <v>394</v>
      </c>
      <c r="B390" t="s">
        <v>809</v>
      </c>
      <c r="C390" s="5">
        <v>45272</v>
      </c>
      <c r="D390" s="5">
        <v>45302</v>
      </c>
      <c r="E390" s="3">
        <v>4184.6499999999996</v>
      </c>
      <c r="F390" t="s">
        <v>811</v>
      </c>
      <c r="G390" t="s">
        <v>817</v>
      </c>
      <c r="H390" s="5" t="s">
        <v>825</v>
      </c>
      <c r="I390" s="7">
        <f t="shared" si="6"/>
        <v>804</v>
      </c>
      <c r="J390" s="13" t="str" cm="1">
        <f t="array" ref="J390">_xlfn.IFS(I390=0, "Settled", I390&lt;=30, "1-30", I390&lt;=90, "31-90", I390&lt;=365, "91-365", I390&gt;365, "1 Year+")</f>
        <v>1 Year+</v>
      </c>
      <c r="K390" t="s">
        <v>819</v>
      </c>
      <c r="L390" s="3" cm="1">
        <f t="array" ref="L390">_xlfn.IFS(F390="AUD",E390*$V$2,F390="CAD",E390*$V$3,F390="EUR",E390*$V$4,F390="GBP",E390*$V$5,F390="USD",E390*$V$6)</f>
        <v>3598.7989999999995</v>
      </c>
      <c r="M390" s="3" cm="1">
        <f t="array" ref="M390">_xlfn.IFS(G390="Paid", L390, G390="Partial", L390*0.5, G390="Open", 0)</f>
        <v>1799.3994999999998</v>
      </c>
      <c r="N390" s="3" cm="1">
        <f t="array" ref="N390">_xlfn.IFS(G390="Open", L390, G390="Partial", L390*0.5, G390="Paid", 0)</f>
        <v>1799.3994999999998</v>
      </c>
    </row>
    <row r="391" spans="1:14" x14ac:dyDescent="0.25">
      <c r="A391" t="s">
        <v>395</v>
      </c>
      <c r="B391" t="s">
        <v>808</v>
      </c>
      <c r="C391" s="5">
        <v>45408</v>
      </c>
      <c r="D391" s="5">
        <v>45438</v>
      </c>
      <c r="E391" s="3">
        <v>4769.93</v>
      </c>
      <c r="F391" t="s">
        <v>812</v>
      </c>
      <c r="G391" t="s">
        <v>816</v>
      </c>
      <c r="H391" s="5" t="s">
        <v>825</v>
      </c>
      <c r="I391" s="7">
        <f t="shared" si="6"/>
        <v>668</v>
      </c>
      <c r="J391" s="13" t="str" cm="1">
        <f t="array" ref="J391">_xlfn.IFS(I391=0, "Settled", I391&lt;=30, "1-30", I391&lt;=90, "31-90", I391&lt;=365, "91-365", I391&gt;365, "1 Year+")</f>
        <v>1 Year+</v>
      </c>
      <c r="K391" t="s">
        <v>819</v>
      </c>
      <c r="L391" s="3" cm="1">
        <f t="array" ref="L391">_xlfn.IFS(F391="AUD",E391*$V$2,F391="CAD",E391*$V$3,F391="EUR",E391*$V$4,F391="GBP",E391*$V$5,F391="USD",E391*$V$6)</f>
        <v>6582.5033999999996</v>
      </c>
      <c r="M391" s="3" cm="1">
        <f t="array" ref="M391">_xlfn.IFS(G391="Paid", L391, G391="Partial", L391*0.5, G391="Open", 0)</f>
        <v>0</v>
      </c>
      <c r="N391" s="3" cm="1">
        <f t="array" ref="N391">_xlfn.IFS(G391="Open", L391, G391="Partial", L391*0.5, G391="Paid", 0)</f>
        <v>6582.5033999999996</v>
      </c>
    </row>
    <row r="392" spans="1:14" x14ac:dyDescent="0.25">
      <c r="A392" t="s">
        <v>396</v>
      </c>
      <c r="B392" t="s">
        <v>809</v>
      </c>
      <c r="C392" s="5">
        <v>45387</v>
      </c>
      <c r="D392" s="5">
        <v>45417</v>
      </c>
      <c r="E392" s="3">
        <v>3082.55</v>
      </c>
      <c r="F392" t="s">
        <v>815</v>
      </c>
      <c r="G392" t="s">
        <v>817</v>
      </c>
      <c r="H392" s="5" t="s">
        <v>825</v>
      </c>
      <c r="I392" s="7">
        <f t="shared" si="6"/>
        <v>689</v>
      </c>
      <c r="J392" s="13" t="str" cm="1">
        <f t="array" ref="J392">_xlfn.IFS(I392=0, "Settled", I392&lt;=30, "1-30", I392&lt;=90, "31-90", I392&lt;=365, "91-365", I392&gt;365, "1 Year+")</f>
        <v>1 Year+</v>
      </c>
      <c r="K392" t="s">
        <v>819</v>
      </c>
      <c r="L392" s="3" cm="1">
        <f t="array" ref="L392">_xlfn.IFS(F392="AUD",E392*$V$2,F392="CAD",E392*$V$3,F392="EUR",E392*$V$4,F392="GBP",E392*$V$5,F392="USD",E392*$V$6)</f>
        <v>4469.6975000000002</v>
      </c>
      <c r="M392" s="3" cm="1">
        <f t="array" ref="M392">_xlfn.IFS(G392="Paid", L392, G392="Partial", L392*0.5, G392="Open", 0)</f>
        <v>2234.8487500000001</v>
      </c>
      <c r="N392" s="3" cm="1">
        <f t="array" ref="N392">_xlfn.IFS(G392="Open", L392, G392="Partial", L392*0.5, G392="Paid", 0)</f>
        <v>2234.8487500000001</v>
      </c>
    </row>
    <row r="393" spans="1:14" x14ac:dyDescent="0.25">
      <c r="A393" t="s">
        <v>397</v>
      </c>
      <c r="B393" t="s">
        <v>807</v>
      </c>
      <c r="C393" s="5">
        <v>45237</v>
      </c>
      <c r="D393" s="5">
        <v>45267</v>
      </c>
      <c r="E393" s="3">
        <v>4720.7700000000004</v>
      </c>
      <c r="F393" t="s">
        <v>814</v>
      </c>
      <c r="G393" t="s">
        <v>818</v>
      </c>
      <c r="H393" s="5">
        <v>45267</v>
      </c>
      <c r="I393" s="7">
        <f t="shared" si="6"/>
        <v>0</v>
      </c>
      <c r="J393" s="13" t="str" cm="1">
        <f t="array" ref="J393">_xlfn.IFS(I393=0, "Settled", I393&lt;=30, "1-30", I393&lt;=90, "31-90", I393&lt;=365, "91-365", I393&gt;365, "1 Year+")</f>
        <v>Settled</v>
      </c>
      <c r="K393" t="s">
        <v>819</v>
      </c>
      <c r="L393" s="3" cm="1">
        <f t="array" ref="L393">_xlfn.IFS(F393="AUD",E393*$V$2,F393="CAD",E393*$V$3,F393="EUR",E393*$V$4,F393="GBP",E393*$V$5,F393="USD",E393*$V$6)</f>
        <v>4720.7700000000004</v>
      </c>
      <c r="M393" s="3" cm="1">
        <f t="array" ref="M393">_xlfn.IFS(G393="Paid", L393, G393="Partial", L393*0.5, G393="Open", 0)</f>
        <v>4720.7700000000004</v>
      </c>
      <c r="N393" s="3" cm="1">
        <f t="array" ref="N393">_xlfn.IFS(G393="Open", L393, G393="Partial", L393*0.5, G393="Paid", 0)</f>
        <v>0</v>
      </c>
    </row>
    <row r="394" spans="1:14" x14ac:dyDescent="0.25">
      <c r="A394" t="s">
        <v>398</v>
      </c>
      <c r="B394" t="s">
        <v>807</v>
      </c>
      <c r="C394" s="5">
        <v>45436</v>
      </c>
      <c r="D394" s="5">
        <v>45466</v>
      </c>
      <c r="E394" s="3">
        <v>4645.08</v>
      </c>
      <c r="F394" t="s">
        <v>815</v>
      </c>
      <c r="G394" t="s">
        <v>816</v>
      </c>
      <c r="H394" s="5" t="s">
        <v>825</v>
      </c>
      <c r="I394" s="7">
        <f t="shared" si="6"/>
        <v>640</v>
      </c>
      <c r="J394" s="13" t="str" cm="1">
        <f t="array" ref="J394">_xlfn.IFS(I394=0, "Settled", I394&lt;=30, "1-30", I394&lt;=90, "31-90", I394&lt;=365, "91-365", I394&gt;365, "1 Year+")</f>
        <v>1 Year+</v>
      </c>
      <c r="K394" t="s">
        <v>819</v>
      </c>
      <c r="L394" s="3" cm="1">
        <f t="array" ref="L394">_xlfn.IFS(F394="AUD",E394*$V$2,F394="CAD",E394*$V$3,F394="EUR",E394*$V$4,F394="GBP",E394*$V$5,F394="USD",E394*$V$6)</f>
        <v>6735.366</v>
      </c>
      <c r="M394" s="3" cm="1">
        <f t="array" ref="M394">_xlfn.IFS(G394="Paid", L394, G394="Partial", L394*0.5, G394="Open", 0)</f>
        <v>0</v>
      </c>
      <c r="N394" s="3" cm="1">
        <f t="array" ref="N394">_xlfn.IFS(G394="Open", L394, G394="Partial", L394*0.5, G394="Paid", 0)</f>
        <v>6735.366</v>
      </c>
    </row>
    <row r="395" spans="1:14" x14ac:dyDescent="0.25">
      <c r="A395" t="s">
        <v>399</v>
      </c>
      <c r="B395" t="s">
        <v>807</v>
      </c>
      <c r="C395" s="5">
        <v>45464</v>
      </c>
      <c r="D395" s="5">
        <v>45494</v>
      </c>
      <c r="E395" s="3">
        <v>2488.5</v>
      </c>
      <c r="F395" t="s">
        <v>814</v>
      </c>
      <c r="G395" t="s">
        <v>816</v>
      </c>
      <c r="H395" s="5" t="s">
        <v>825</v>
      </c>
      <c r="I395" s="7">
        <f t="shared" si="6"/>
        <v>612</v>
      </c>
      <c r="J395" s="13" t="str" cm="1">
        <f t="array" ref="J395">_xlfn.IFS(I395=0, "Settled", I395&lt;=30, "1-30", I395&lt;=90, "31-90", I395&lt;=365, "91-365", I395&gt;365, "1 Year+")</f>
        <v>1 Year+</v>
      </c>
      <c r="K395" t="s">
        <v>819</v>
      </c>
      <c r="L395" s="3" cm="1">
        <f t="array" ref="L395">_xlfn.IFS(F395="AUD",E395*$V$2,F395="CAD",E395*$V$3,F395="EUR",E395*$V$4,F395="GBP",E395*$V$5,F395="USD",E395*$V$6)</f>
        <v>2488.5</v>
      </c>
      <c r="M395" s="3" cm="1">
        <f t="array" ref="M395">_xlfn.IFS(G395="Paid", L395, G395="Partial", L395*0.5, G395="Open", 0)</f>
        <v>0</v>
      </c>
      <c r="N395" s="3" cm="1">
        <f t="array" ref="N395">_xlfn.IFS(G395="Open", L395, G395="Partial", L395*0.5, G395="Paid", 0)</f>
        <v>2488.5</v>
      </c>
    </row>
    <row r="396" spans="1:14" x14ac:dyDescent="0.25">
      <c r="A396" t="s">
        <v>400</v>
      </c>
      <c r="B396" t="s">
        <v>809</v>
      </c>
      <c r="C396" s="5">
        <v>45308</v>
      </c>
      <c r="D396" s="5">
        <v>45338</v>
      </c>
      <c r="E396" s="3">
        <v>4687.1499999999996</v>
      </c>
      <c r="F396" t="s">
        <v>812</v>
      </c>
      <c r="G396" t="s">
        <v>817</v>
      </c>
      <c r="H396" s="5" t="s">
        <v>825</v>
      </c>
      <c r="I396" s="7">
        <f t="shared" si="6"/>
        <v>768</v>
      </c>
      <c r="J396" s="13" t="str" cm="1">
        <f t="array" ref="J396">_xlfn.IFS(I396=0, "Settled", I396&lt;=30, "1-30", I396&lt;=90, "31-90", I396&lt;=365, "91-365", I396&gt;365, "1 Year+")</f>
        <v>1 Year+</v>
      </c>
      <c r="K396" t="s">
        <v>819</v>
      </c>
      <c r="L396" s="3" cm="1">
        <f t="array" ref="L396">_xlfn.IFS(F396="AUD",E396*$V$2,F396="CAD",E396*$V$3,F396="EUR",E396*$V$4,F396="GBP",E396*$V$5,F396="USD",E396*$V$6)</f>
        <v>6468.2669999999989</v>
      </c>
      <c r="M396" s="3" cm="1">
        <f t="array" ref="M396">_xlfn.IFS(G396="Paid", L396, G396="Partial", L396*0.5, G396="Open", 0)</f>
        <v>3234.1334999999995</v>
      </c>
      <c r="N396" s="3" cm="1">
        <f t="array" ref="N396">_xlfn.IFS(G396="Open", L396, G396="Partial", L396*0.5, G396="Paid", 0)</f>
        <v>3234.1334999999995</v>
      </c>
    </row>
    <row r="397" spans="1:14" x14ac:dyDescent="0.25">
      <c r="A397" t="s">
        <v>401</v>
      </c>
      <c r="B397" t="s">
        <v>809</v>
      </c>
      <c r="C397" s="5">
        <v>45227</v>
      </c>
      <c r="D397" s="5">
        <v>45257</v>
      </c>
      <c r="E397" s="3">
        <v>3299.79</v>
      </c>
      <c r="F397" t="s">
        <v>814</v>
      </c>
      <c r="G397" t="s">
        <v>816</v>
      </c>
      <c r="H397" s="5" t="s">
        <v>825</v>
      </c>
      <c r="I397" s="7">
        <f t="shared" si="6"/>
        <v>849</v>
      </c>
      <c r="J397" s="13" t="str" cm="1">
        <f t="array" ref="J397">_xlfn.IFS(I397=0, "Settled", I397&lt;=30, "1-30", I397&lt;=90, "31-90", I397&lt;=365, "91-365", I397&gt;365, "1 Year+")</f>
        <v>1 Year+</v>
      </c>
      <c r="K397" t="s">
        <v>819</v>
      </c>
      <c r="L397" s="3" cm="1">
        <f t="array" ref="L397">_xlfn.IFS(F397="AUD",E397*$V$2,F397="CAD",E397*$V$3,F397="EUR",E397*$V$4,F397="GBP",E397*$V$5,F397="USD",E397*$V$6)</f>
        <v>3299.79</v>
      </c>
      <c r="M397" s="3" cm="1">
        <f t="array" ref="M397">_xlfn.IFS(G397="Paid", L397, G397="Partial", L397*0.5, G397="Open", 0)</f>
        <v>0</v>
      </c>
      <c r="N397" s="3" cm="1">
        <f t="array" ref="N397">_xlfn.IFS(G397="Open", L397, G397="Partial", L397*0.5, G397="Paid", 0)</f>
        <v>3299.79</v>
      </c>
    </row>
    <row r="398" spans="1:14" x14ac:dyDescent="0.25">
      <c r="A398" t="s">
        <v>402</v>
      </c>
      <c r="B398" t="s">
        <v>807</v>
      </c>
      <c r="C398" s="5">
        <v>45541</v>
      </c>
      <c r="D398" s="5">
        <v>45571</v>
      </c>
      <c r="E398" s="3">
        <v>1150.1099999999999</v>
      </c>
      <c r="F398" t="s">
        <v>813</v>
      </c>
      <c r="G398" t="s">
        <v>818</v>
      </c>
      <c r="H398" s="5">
        <v>45571</v>
      </c>
      <c r="I398" s="7">
        <f t="shared" si="6"/>
        <v>0</v>
      </c>
      <c r="J398" s="13" t="str" cm="1">
        <f t="array" ref="J398">_xlfn.IFS(I398=0, "Settled", I398&lt;=30, "1-30", I398&lt;=90, "31-90", I398&lt;=365, "91-365", I398&gt;365, "1 Year+")</f>
        <v>Settled</v>
      </c>
      <c r="K398" t="s">
        <v>819</v>
      </c>
      <c r="L398" s="3" cm="1">
        <f t="array" ref="L398">_xlfn.IFS(F398="AUD",E398*$V$2,F398="CAD",E398*$V$3,F398="EUR",E398*$V$4,F398="GBP",E398*$V$5,F398="USD",E398*$V$6)</f>
        <v>862.58249999999998</v>
      </c>
      <c r="M398" s="3" cm="1">
        <f t="array" ref="M398">_xlfn.IFS(G398="Paid", L398, G398="Partial", L398*0.5, G398="Open", 0)</f>
        <v>862.58249999999998</v>
      </c>
      <c r="N398" s="3" cm="1">
        <f t="array" ref="N398">_xlfn.IFS(G398="Open", L398, G398="Partial", L398*0.5, G398="Paid", 0)</f>
        <v>0</v>
      </c>
    </row>
    <row r="399" spans="1:14" x14ac:dyDescent="0.25">
      <c r="A399" t="s">
        <v>403</v>
      </c>
      <c r="B399" t="s">
        <v>809</v>
      </c>
      <c r="C399" s="5">
        <v>45329</v>
      </c>
      <c r="D399" s="5">
        <v>45359</v>
      </c>
      <c r="E399" s="3">
        <v>1440.98</v>
      </c>
      <c r="F399" t="s">
        <v>812</v>
      </c>
      <c r="G399" t="s">
        <v>816</v>
      </c>
      <c r="H399" s="5" t="s">
        <v>825</v>
      </c>
      <c r="I399" s="7">
        <f t="shared" si="6"/>
        <v>747</v>
      </c>
      <c r="J399" s="13" t="str" cm="1">
        <f t="array" ref="J399">_xlfn.IFS(I399=0, "Settled", I399&lt;=30, "1-30", I399&lt;=90, "31-90", I399&lt;=365, "91-365", I399&gt;365, "1 Year+")</f>
        <v>1 Year+</v>
      </c>
      <c r="K399" t="s">
        <v>819</v>
      </c>
      <c r="L399" s="3" cm="1">
        <f t="array" ref="L399">_xlfn.IFS(F399="AUD",E399*$V$2,F399="CAD",E399*$V$3,F399="EUR",E399*$V$4,F399="GBP",E399*$V$5,F399="USD",E399*$V$6)</f>
        <v>1988.5523999999998</v>
      </c>
      <c r="M399" s="3" cm="1">
        <f t="array" ref="M399">_xlfn.IFS(G399="Paid", L399, G399="Partial", L399*0.5, G399="Open", 0)</f>
        <v>0</v>
      </c>
      <c r="N399" s="3" cm="1">
        <f t="array" ref="N399">_xlfn.IFS(G399="Open", L399, G399="Partial", L399*0.5, G399="Paid", 0)</f>
        <v>1988.5523999999998</v>
      </c>
    </row>
    <row r="400" spans="1:14" x14ac:dyDescent="0.25">
      <c r="A400" t="s">
        <v>404</v>
      </c>
      <c r="B400" t="s">
        <v>808</v>
      </c>
      <c r="C400" s="5">
        <v>45012</v>
      </c>
      <c r="D400" s="5">
        <v>45042</v>
      </c>
      <c r="E400" s="3">
        <v>4705.1499999999996</v>
      </c>
      <c r="F400" t="s">
        <v>815</v>
      </c>
      <c r="G400" t="s">
        <v>818</v>
      </c>
      <c r="H400" s="5">
        <v>45042</v>
      </c>
      <c r="I400" s="7">
        <f t="shared" si="6"/>
        <v>0</v>
      </c>
      <c r="J400" s="13" t="str" cm="1">
        <f t="array" ref="J400">_xlfn.IFS(I400=0, "Settled", I400&lt;=30, "1-30", I400&lt;=90, "31-90", I400&lt;=365, "91-365", I400&gt;365, "1 Year+")</f>
        <v>Settled</v>
      </c>
      <c r="K400" t="s">
        <v>819</v>
      </c>
      <c r="L400" s="3" cm="1">
        <f t="array" ref="L400">_xlfn.IFS(F400="AUD",E400*$V$2,F400="CAD",E400*$V$3,F400="EUR",E400*$V$4,F400="GBP",E400*$V$5,F400="USD",E400*$V$6)</f>
        <v>6822.4674999999988</v>
      </c>
      <c r="M400" s="3" cm="1">
        <f t="array" ref="M400">_xlfn.IFS(G400="Paid", L400, G400="Partial", L400*0.5, G400="Open", 0)</f>
        <v>6822.4674999999988</v>
      </c>
      <c r="N400" s="3" cm="1">
        <f t="array" ref="N400">_xlfn.IFS(G400="Open", L400, G400="Partial", L400*0.5, G400="Paid", 0)</f>
        <v>0</v>
      </c>
    </row>
    <row r="401" spans="1:14" x14ac:dyDescent="0.25">
      <c r="A401" t="s">
        <v>405</v>
      </c>
      <c r="B401" t="s">
        <v>810</v>
      </c>
      <c r="C401" s="5">
        <v>45086</v>
      </c>
      <c r="D401" s="5">
        <v>45116</v>
      </c>
      <c r="E401" s="3">
        <v>4226.8900000000003</v>
      </c>
      <c r="F401" t="s">
        <v>815</v>
      </c>
      <c r="G401" t="s">
        <v>818</v>
      </c>
      <c r="H401" s="5">
        <v>45116</v>
      </c>
      <c r="I401" s="7">
        <f t="shared" si="6"/>
        <v>0</v>
      </c>
      <c r="J401" s="13" t="str" cm="1">
        <f t="array" ref="J401">_xlfn.IFS(I401=0, "Settled", I401&lt;=30, "1-30", I401&lt;=90, "31-90", I401&lt;=365, "91-365", I401&gt;365, "1 Year+")</f>
        <v>Settled</v>
      </c>
      <c r="K401" t="s">
        <v>819</v>
      </c>
      <c r="L401" s="3" cm="1">
        <f t="array" ref="L401">_xlfn.IFS(F401="AUD",E401*$V$2,F401="CAD",E401*$V$3,F401="EUR",E401*$V$4,F401="GBP",E401*$V$5,F401="USD",E401*$V$6)</f>
        <v>6128.9904999999999</v>
      </c>
      <c r="M401" s="3" cm="1">
        <f t="array" ref="M401">_xlfn.IFS(G401="Paid", L401, G401="Partial", L401*0.5, G401="Open", 0)</f>
        <v>6128.9904999999999</v>
      </c>
      <c r="N401" s="3" cm="1">
        <f t="array" ref="N401">_xlfn.IFS(G401="Open", L401, G401="Partial", L401*0.5, G401="Paid", 0)</f>
        <v>0</v>
      </c>
    </row>
    <row r="402" spans="1:14" x14ac:dyDescent="0.25">
      <c r="A402" t="s">
        <v>406</v>
      </c>
      <c r="B402" t="s">
        <v>809</v>
      </c>
      <c r="C402" s="5">
        <v>45776</v>
      </c>
      <c r="D402" s="5">
        <v>45806</v>
      </c>
      <c r="E402" s="3">
        <v>4706.16</v>
      </c>
      <c r="F402" t="s">
        <v>813</v>
      </c>
      <c r="G402" t="s">
        <v>818</v>
      </c>
      <c r="H402" s="5">
        <v>45806</v>
      </c>
      <c r="I402" s="7">
        <f t="shared" si="6"/>
        <v>0</v>
      </c>
      <c r="J402" s="13" t="str" cm="1">
        <f t="array" ref="J402">_xlfn.IFS(I402=0, "Settled", I402&lt;=30, "1-30", I402&lt;=90, "31-90", I402&lt;=365, "91-365", I402&gt;365, "1 Year+")</f>
        <v>Settled</v>
      </c>
      <c r="K402" t="s">
        <v>819</v>
      </c>
      <c r="L402" s="3" cm="1">
        <f t="array" ref="L402">_xlfn.IFS(F402="AUD",E402*$V$2,F402="CAD",E402*$V$3,F402="EUR",E402*$V$4,F402="GBP",E402*$V$5,F402="USD",E402*$V$6)</f>
        <v>3529.62</v>
      </c>
      <c r="M402" s="3" cm="1">
        <f t="array" ref="M402">_xlfn.IFS(G402="Paid", L402, G402="Partial", L402*0.5, G402="Open", 0)</f>
        <v>3529.62</v>
      </c>
      <c r="N402" s="3" cm="1">
        <f t="array" ref="N402">_xlfn.IFS(G402="Open", L402, G402="Partial", L402*0.5, G402="Paid", 0)</f>
        <v>0</v>
      </c>
    </row>
    <row r="403" spans="1:14" x14ac:dyDescent="0.25">
      <c r="A403" t="s">
        <v>407</v>
      </c>
      <c r="B403" t="s">
        <v>809</v>
      </c>
      <c r="C403" s="5">
        <v>45145</v>
      </c>
      <c r="D403" s="5">
        <v>45175</v>
      </c>
      <c r="E403" s="3">
        <v>4149.5200000000004</v>
      </c>
      <c r="F403" t="s">
        <v>814</v>
      </c>
      <c r="G403" t="s">
        <v>818</v>
      </c>
      <c r="H403" s="5">
        <v>45175</v>
      </c>
      <c r="I403" s="7">
        <f t="shared" si="6"/>
        <v>0</v>
      </c>
      <c r="J403" s="13" t="str" cm="1">
        <f t="array" ref="J403">_xlfn.IFS(I403=0, "Settled", I403&lt;=30, "1-30", I403&lt;=90, "31-90", I403&lt;=365, "91-365", I403&gt;365, "1 Year+")</f>
        <v>Settled</v>
      </c>
      <c r="K403" t="s">
        <v>819</v>
      </c>
      <c r="L403" s="3" cm="1">
        <f t="array" ref="L403">_xlfn.IFS(F403="AUD",E403*$V$2,F403="CAD",E403*$V$3,F403="EUR",E403*$V$4,F403="GBP",E403*$V$5,F403="USD",E403*$V$6)</f>
        <v>4149.5200000000004</v>
      </c>
      <c r="M403" s="3" cm="1">
        <f t="array" ref="M403">_xlfn.IFS(G403="Paid", L403, G403="Partial", L403*0.5, G403="Open", 0)</f>
        <v>4149.5200000000004</v>
      </c>
      <c r="N403" s="3" cm="1">
        <f t="array" ref="N403">_xlfn.IFS(G403="Open", L403, G403="Partial", L403*0.5, G403="Paid", 0)</f>
        <v>0</v>
      </c>
    </row>
    <row r="404" spans="1:14" x14ac:dyDescent="0.25">
      <c r="A404" t="s">
        <v>408</v>
      </c>
      <c r="B404" t="s">
        <v>807</v>
      </c>
      <c r="C404" s="5">
        <v>45286</v>
      </c>
      <c r="D404" s="5">
        <v>45316</v>
      </c>
      <c r="E404" s="3">
        <v>1586.89</v>
      </c>
      <c r="F404" t="s">
        <v>811</v>
      </c>
      <c r="G404" t="s">
        <v>817</v>
      </c>
      <c r="H404" s="5" t="s">
        <v>825</v>
      </c>
      <c r="I404" s="7">
        <f t="shared" si="6"/>
        <v>790</v>
      </c>
      <c r="J404" s="13" t="str" cm="1">
        <f t="array" ref="J404">_xlfn.IFS(I404=0, "Settled", I404&lt;=30, "1-30", I404&lt;=90, "31-90", I404&lt;=365, "91-365", I404&gt;365, "1 Year+")</f>
        <v>1 Year+</v>
      </c>
      <c r="K404" t="s">
        <v>819</v>
      </c>
      <c r="L404" s="3" cm="1">
        <f t="array" ref="L404">_xlfn.IFS(F404="AUD",E404*$V$2,F404="CAD",E404*$V$3,F404="EUR",E404*$V$4,F404="GBP",E404*$V$5,F404="USD",E404*$V$6)</f>
        <v>1364.7254</v>
      </c>
      <c r="M404" s="3" cm="1">
        <f t="array" ref="M404">_xlfn.IFS(G404="Paid", L404, G404="Partial", L404*0.5, G404="Open", 0)</f>
        <v>682.36270000000002</v>
      </c>
      <c r="N404" s="3" cm="1">
        <f t="array" ref="N404">_xlfn.IFS(G404="Open", L404, G404="Partial", L404*0.5, G404="Paid", 0)</f>
        <v>682.36270000000002</v>
      </c>
    </row>
    <row r="405" spans="1:14" x14ac:dyDescent="0.25">
      <c r="A405" t="s">
        <v>409</v>
      </c>
      <c r="B405" t="s">
        <v>806</v>
      </c>
      <c r="C405" s="5">
        <v>45757</v>
      </c>
      <c r="D405" s="5">
        <v>45787</v>
      </c>
      <c r="E405" s="3">
        <v>2473.2600000000002</v>
      </c>
      <c r="F405" t="s">
        <v>814</v>
      </c>
      <c r="G405" t="s">
        <v>816</v>
      </c>
      <c r="H405" s="5" t="s">
        <v>825</v>
      </c>
      <c r="I405" s="7">
        <f t="shared" si="6"/>
        <v>319</v>
      </c>
      <c r="J405" s="13" t="str" cm="1">
        <f t="array" ref="J405">_xlfn.IFS(I405=0, "Settled", I405&lt;=30, "1-30", I405&lt;=90, "31-90", I405&lt;=365, "91-365", I405&gt;365, "1 Year+")</f>
        <v>91-365</v>
      </c>
      <c r="K405" t="s">
        <v>819</v>
      </c>
      <c r="L405" s="3" cm="1">
        <f t="array" ref="L405">_xlfn.IFS(F405="AUD",E405*$V$2,F405="CAD",E405*$V$3,F405="EUR",E405*$V$4,F405="GBP",E405*$V$5,F405="USD",E405*$V$6)</f>
        <v>2473.2600000000002</v>
      </c>
      <c r="M405" s="3" cm="1">
        <f t="array" ref="M405">_xlfn.IFS(G405="Paid", L405, G405="Partial", L405*0.5, G405="Open", 0)</f>
        <v>0</v>
      </c>
      <c r="N405" s="3" cm="1">
        <f t="array" ref="N405">_xlfn.IFS(G405="Open", L405, G405="Partial", L405*0.5, G405="Paid", 0)</f>
        <v>2473.2600000000002</v>
      </c>
    </row>
    <row r="406" spans="1:14" x14ac:dyDescent="0.25">
      <c r="A406" t="s">
        <v>410</v>
      </c>
      <c r="B406" t="s">
        <v>806</v>
      </c>
      <c r="C406" s="5">
        <v>45577</v>
      </c>
      <c r="D406" s="5">
        <v>45607</v>
      </c>
      <c r="E406" s="3">
        <v>3115.36</v>
      </c>
      <c r="F406" t="s">
        <v>813</v>
      </c>
      <c r="G406" t="s">
        <v>816</v>
      </c>
      <c r="H406" s="5" t="s">
        <v>825</v>
      </c>
      <c r="I406" s="7">
        <f t="shared" si="6"/>
        <v>499</v>
      </c>
      <c r="J406" s="13" t="str" cm="1">
        <f t="array" ref="J406">_xlfn.IFS(I406=0, "Settled", I406&lt;=30, "1-30", I406&lt;=90, "31-90", I406&lt;=365, "91-365", I406&gt;365, "1 Year+")</f>
        <v>1 Year+</v>
      </c>
      <c r="K406" t="s">
        <v>819</v>
      </c>
      <c r="L406" s="3" cm="1">
        <f t="array" ref="L406">_xlfn.IFS(F406="AUD",E406*$V$2,F406="CAD",E406*$V$3,F406="EUR",E406*$V$4,F406="GBP",E406*$V$5,F406="USD",E406*$V$6)</f>
        <v>2336.52</v>
      </c>
      <c r="M406" s="3" cm="1">
        <f t="array" ref="M406">_xlfn.IFS(G406="Paid", L406, G406="Partial", L406*0.5, G406="Open", 0)</f>
        <v>0</v>
      </c>
      <c r="N406" s="3" cm="1">
        <f t="array" ref="N406">_xlfn.IFS(G406="Open", L406, G406="Partial", L406*0.5, G406="Paid", 0)</f>
        <v>2336.52</v>
      </c>
    </row>
    <row r="407" spans="1:14" x14ac:dyDescent="0.25">
      <c r="A407" t="s">
        <v>411</v>
      </c>
      <c r="B407" t="s">
        <v>809</v>
      </c>
      <c r="C407" s="5">
        <v>45775</v>
      </c>
      <c r="D407" s="5">
        <v>45805</v>
      </c>
      <c r="E407" s="3">
        <v>2243.81</v>
      </c>
      <c r="F407" t="s">
        <v>815</v>
      </c>
      <c r="G407" t="s">
        <v>818</v>
      </c>
      <c r="H407" s="5">
        <v>45805</v>
      </c>
      <c r="I407" s="7">
        <f t="shared" si="6"/>
        <v>0</v>
      </c>
      <c r="J407" s="13" t="str" cm="1">
        <f t="array" ref="J407">_xlfn.IFS(I407=0, "Settled", I407&lt;=30, "1-30", I407&lt;=90, "31-90", I407&lt;=365, "91-365", I407&gt;365, "1 Year+")</f>
        <v>Settled</v>
      </c>
      <c r="K407" t="s">
        <v>819</v>
      </c>
      <c r="L407" s="3" cm="1">
        <f t="array" ref="L407">_xlfn.IFS(F407="AUD",E407*$V$2,F407="CAD",E407*$V$3,F407="EUR",E407*$V$4,F407="GBP",E407*$V$5,F407="USD",E407*$V$6)</f>
        <v>3253.5245</v>
      </c>
      <c r="M407" s="3" cm="1">
        <f t="array" ref="M407">_xlfn.IFS(G407="Paid", L407, G407="Partial", L407*0.5, G407="Open", 0)</f>
        <v>3253.5245</v>
      </c>
      <c r="N407" s="3" cm="1">
        <f t="array" ref="N407">_xlfn.IFS(G407="Open", L407, G407="Partial", L407*0.5, G407="Paid", 0)</f>
        <v>0</v>
      </c>
    </row>
    <row r="408" spans="1:14" x14ac:dyDescent="0.25">
      <c r="A408" t="s">
        <v>412</v>
      </c>
      <c r="B408" t="s">
        <v>807</v>
      </c>
      <c r="C408" s="5">
        <v>45729</v>
      </c>
      <c r="D408" s="5">
        <v>45759</v>
      </c>
      <c r="E408" s="3">
        <v>2764.23</v>
      </c>
      <c r="F408" t="s">
        <v>813</v>
      </c>
      <c r="G408" t="s">
        <v>817</v>
      </c>
      <c r="H408" s="5" t="s">
        <v>825</v>
      </c>
      <c r="I408" s="7">
        <f t="shared" si="6"/>
        <v>347</v>
      </c>
      <c r="J408" s="13" t="str" cm="1">
        <f t="array" ref="J408">_xlfn.IFS(I408=0, "Settled", I408&lt;=30, "1-30", I408&lt;=90, "31-90", I408&lt;=365, "91-365", I408&gt;365, "1 Year+")</f>
        <v>91-365</v>
      </c>
      <c r="K408" t="s">
        <v>819</v>
      </c>
      <c r="L408" s="3" cm="1">
        <f t="array" ref="L408">_xlfn.IFS(F408="AUD",E408*$V$2,F408="CAD",E408*$V$3,F408="EUR",E408*$V$4,F408="GBP",E408*$V$5,F408="USD",E408*$V$6)</f>
        <v>2073.1725000000001</v>
      </c>
      <c r="M408" s="3" cm="1">
        <f t="array" ref="M408">_xlfn.IFS(G408="Paid", L408, G408="Partial", L408*0.5, G408="Open", 0)</f>
        <v>1036.5862500000001</v>
      </c>
      <c r="N408" s="3" cm="1">
        <f t="array" ref="N408">_xlfn.IFS(G408="Open", L408, G408="Partial", L408*0.5, G408="Paid", 0)</f>
        <v>1036.5862500000001</v>
      </c>
    </row>
    <row r="409" spans="1:14" x14ac:dyDescent="0.25">
      <c r="A409" t="s">
        <v>413</v>
      </c>
      <c r="B409" t="s">
        <v>810</v>
      </c>
      <c r="C409" s="5">
        <v>45286</v>
      </c>
      <c r="D409" s="5">
        <v>45316</v>
      </c>
      <c r="E409" s="3">
        <v>4219.16</v>
      </c>
      <c r="F409" t="s">
        <v>814</v>
      </c>
      <c r="G409" t="s">
        <v>817</v>
      </c>
      <c r="H409" s="5" t="s">
        <v>825</v>
      </c>
      <c r="I409" s="7">
        <f t="shared" si="6"/>
        <v>790</v>
      </c>
      <c r="J409" s="13" t="str" cm="1">
        <f t="array" ref="J409">_xlfn.IFS(I409=0, "Settled", I409&lt;=30, "1-30", I409&lt;=90, "31-90", I409&lt;=365, "91-365", I409&gt;365, "1 Year+")</f>
        <v>1 Year+</v>
      </c>
      <c r="K409" t="s">
        <v>819</v>
      </c>
      <c r="L409" s="3" cm="1">
        <f t="array" ref="L409">_xlfn.IFS(F409="AUD",E409*$V$2,F409="CAD",E409*$V$3,F409="EUR",E409*$V$4,F409="GBP",E409*$V$5,F409="USD",E409*$V$6)</f>
        <v>4219.16</v>
      </c>
      <c r="M409" s="3" cm="1">
        <f t="array" ref="M409">_xlfn.IFS(G409="Paid", L409, G409="Partial", L409*0.5, G409="Open", 0)</f>
        <v>2109.58</v>
      </c>
      <c r="N409" s="3" cm="1">
        <f t="array" ref="N409">_xlfn.IFS(G409="Open", L409, G409="Partial", L409*0.5, G409="Paid", 0)</f>
        <v>2109.58</v>
      </c>
    </row>
    <row r="410" spans="1:14" x14ac:dyDescent="0.25">
      <c r="A410" t="s">
        <v>414</v>
      </c>
      <c r="B410" t="s">
        <v>809</v>
      </c>
      <c r="C410" s="5">
        <v>45430</v>
      </c>
      <c r="D410" s="5">
        <v>45460</v>
      </c>
      <c r="E410" s="3">
        <v>2719.44</v>
      </c>
      <c r="F410" t="s">
        <v>812</v>
      </c>
      <c r="G410" t="s">
        <v>816</v>
      </c>
      <c r="H410" s="5" t="s">
        <v>825</v>
      </c>
      <c r="I410" s="7">
        <f t="shared" si="6"/>
        <v>646</v>
      </c>
      <c r="J410" s="13" t="str" cm="1">
        <f t="array" ref="J410">_xlfn.IFS(I410=0, "Settled", I410&lt;=30, "1-30", I410&lt;=90, "31-90", I410&lt;=365, "91-365", I410&gt;365, "1 Year+")</f>
        <v>1 Year+</v>
      </c>
      <c r="K410" t="s">
        <v>819</v>
      </c>
      <c r="L410" s="3" cm="1">
        <f t="array" ref="L410">_xlfn.IFS(F410="AUD",E410*$V$2,F410="CAD",E410*$V$3,F410="EUR",E410*$V$4,F410="GBP",E410*$V$5,F410="USD",E410*$V$6)</f>
        <v>3752.8271999999997</v>
      </c>
      <c r="M410" s="3" cm="1">
        <f t="array" ref="M410">_xlfn.IFS(G410="Paid", L410, G410="Partial", L410*0.5, G410="Open", 0)</f>
        <v>0</v>
      </c>
      <c r="N410" s="3" cm="1">
        <f t="array" ref="N410">_xlfn.IFS(G410="Open", L410, G410="Partial", L410*0.5, G410="Paid", 0)</f>
        <v>3752.8271999999997</v>
      </c>
    </row>
    <row r="411" spans="1:14" x14ac:dyDescent="0.25">
      <c r="A411" t="s">
        <v>415</v>
      </c>
      <c r="B411" t="s">
        <v>810</v>
      </c>
      <c r="C411" s="5">
        <v>45617</v>
      </c>
      <c r="D411" s="5">
        <v>45647</v>
      </c>
      <c r="E411" s="3">
        <v>3651.79</v>
      </c>
      <c r="F411" t="s">
        <v>812</v>
      </c>
      <c r="G411" t="s">
        <v>817</v>
      </c>
      <c r="H411" s="5" t="s">
        <v>825</v>
      </c>
      <c r="I411" s="7">
        <f t="shared" si="6"/>
        <v>459</v>
      </c>
      <c r="J411" s="13" t="str" cm="1">
        <f t="array" ref="J411">_xlfn.IFS(I411=0, "Settled", I411&lt;=30, "1-30", I411&lt;=90, "31-90", I411&lt;=365, "91-365", I411&gt;365, "1 Year+")</f>
        <v>1 Year+</v>
      </c>
      <c r="K411" t="s">
        <v>819</v>
      </c>
      <c r="L411" s="3" cm="1">
        <f t="array" ref="L411">_xlfn.IFS(F411="AUD",E411*$V$2,F411="CAD",E411*$V$3,F411="EUR",E411*$V$4,F411="GBP",E411*$V$5,F411="USD",E411*$V$6)</f>
        <v>5039.4701999999997</v>
      </c>
      <c r="M411" s="3" cm="1">
        <f t="array" ref="M411">_xlfn.IFS(G411="Paid", L411, G411="Partial", L411*0.5, G411="Open", 0)</f>
        <v>2519.7350999999999</v>
      </c>
      <c r="N411" s="3" cm="1">
        <f t="array" ref="N411">_xlfn.IFS(G411="Open", L411, G411="Partial", L411*0.5, G411="Paid", 0)</f>
        <v>2519.7350999999999</v>
      </c>
    </row>
    <row r="412" spans="1:14" x14ac:dyDescent="0.25">
      <c r="A412" t="s">
        <v>416</v>
      </c>
      <c r="B412" t="s">
        <v>809</v>
      </c>
      <c r="C412" s="5">
        <v>45358</v>
      </c>
      <c r="D412" s="5">
        <v>45388</v>
      </c>
      <c r="E412" s="3">
        <v>1247.3</v>
      </c>
      <c r="F412" t="s">
        <v>815</v>
      </c>
      <c r="G412" t="s">
        <v>818</v>
      </c>
      <c r="H412" s="5">
        <v>45388</v>
      </c>
      <c r="I412" s="7">
        <f t="shared" si="6"/>
        <v>0</v>
      </c>
      <c r="J412" s="13" t="str" cm="1">
        <f t="array" ref="J412">_xlfn.IFS(I412=0, "Settled", I412&lt;=30, "1-30", I412&lt;=90, "31-90", I412&lt;=365, "91-365", I412&gt;365, "1 Year+")</f>
        <v>Settled</v>
      </c>
      <c r="K412" t="s">
        <v>819</v>
      </c>
      <c r="L412" s="3" cm="1">
        <f t="array" ref="L412">_xlfn.IFS(F412="AUD",E412*$V$2,F412="CAD",E412*$V$3,F412="EUR",E412*$V$4,F412="GBP",E412*$V$5,F412="USD",E412*$V$6)</f>
        <v>1808.5849999999998</v>
      </c>
      <c r="M412" s="3" cm="1">
        <f t="array" ref="M412">_xlfn.IFS(G412="Paid", L412, G412="Partial", L412*0.5, G412="Open", 0)</f>
        <v>1808.5849999999998</v>
      </c>
      <c r="N412" s="3" cm="1">
        <f t="array" ref="N412">_xlfn.IFS(G412="Open", L412, G412="Partial", L412*0.5, G412="Paid", 0)</f>
        <v>0</v>
      </c>
    </row>
    <row r="413" spans="1:14" x14ac:dyDescent="0.25">
      <c r="A413" t="s">
        <v>417</v>
      </c>
      <c r="B413" t="s">
        <v>810</v>
      </c>
      <c r="C413" s="5">
        <v>45586</v>
      </c>
      <c r="D413" s="5">
        <v>45616</v>
      </c>
      <c r="E413" s="3">
        <v>1665.2</v>
      </c>
      <c r="F413" t="s">
        <v>815</v>
      </c>
      <c r="G413" t="s">
        <v>816</v>
      </c>
      <c r="H413" s="5" t="s">
        <v>825</v>
      </c>
      <c r="I413" s="7">
        <f t="shared" si="6"/>
        <v>490</v>
      </c>
      <c r="J413" s="13" t="str" cm="1">
        <f t="array" ref="J413">_xlfn.IFS(I413=0, "Settled", I413&lt;=30, "1-30", I413&lt;=90, "31-90", I413&lt;=365, "91-365", I413&gt;365, "1 Year+")</f>
        <v>1 Year+</v>
      </c>
      <c r="K413" t="s">
        <v>819</v>
      </c>
      <c r="L413" s="3" cm="1">
        <f t="array" ref="L413">_xlfn.IFS(F413="AUD",E413*$V$2,F413="CAD",E413*$V$3,F413="EUR",E413*$V$4,F413="GBP",E413*$V$5,F413="USD",E413*$V$6)</f>
        <v>2414.54</v>
      </c>
      <c r="M413" s="3" cm="1">
        <f t="array" ref="M413">_xlfn.IFS(G413="Paid", L413, G413="Partial", L413*0.5, G413="Open", 0)</f>
        <v>0</v>
      </c>
      <c r="N413" s="3" cm="1">
        <f t="array" ref="N413">_xlfn.IFS(G413="Open", L413, G413="Partial", L413*0.5, G413="Paid", 0)</f>
        <v>2414.54</v>
      </c>
    </row>
    <row r="414" spans="1:14" x14ac:dyDescent="0.25">
      <c r="A414" t="s">
        <v>418</v>
      </c>
      <c r="B414" t="s">
        <v>806</v>
      </c>
      <c r="C414" s="5">
        <v>45769</v>
      </c>
      <c r="D414" s="5">
        <v>45799</v>
      </c>
      <c r="E414" s="3">
        <v>4157.1000000000004</v>
      </c>
      <c r="F414" t="s">
        <v>813</v>
      </c>
      <c r="G414" t="s">
        <v>817</v>
      </c>
      <c r="H414" s="5" t="s">
        <v>825</v>
      </c>
      <c r="I414" s="7">
        <f t="shared" si="6"/>
        <v>307</v>
      </c>
      <c r="J414" s="13" t="str" cm="1">
        <f t="array" ref="J414">_xlfn.IFS(I414=0, "Settled", I414&lt;=30, "1-30", I414&lt;=90, "31-90", I414&lt;=365, "91-365", I414&gt;365, "1 Year+")</f>
        <v>91-365</v>
      </c>
      <c r="K414" t="s">
        <v>819</v>
      </c>
      <c r="L414" s="3" cm="1">
        <f t="array" ref="L414">_xlfn.IFS(F414="AUD",E414*$V$2,F414="CAD",E414*$V$3,F414="EUR",E414*$V$4,F414="GBP",E414*$V$5,F414="USD",E414*$V$6)</f>
        <v>3117.8250000000003</v>
      </c>
      <c r="M414" s="3" cm="1">
        <f t="array" ref="M414">_xlfn.IFS(G414="Paid", L414, G414="Partial", L414*0.5, G414="Open", 0)</f>
        <v>1558.9125000000001</v>
      </c>
      <c r="N414" s="3" cm="1">
        <f t="array" ref="N414">_xlfn.IFS(G414="Open", L414, G414="Partial", L414*0.5, G414="Paid", 0)</f>
        <v>1558.9125000000001</v>
      </c>
    </row>
    <row r="415" spans="1:14" x14ac:dyDescent="0.25">
      <c r="A415" t="s">
        <v>419</v>
      </c>
      <c r="B415" t="s">
        <v>809</v>
      </c>
      <c r="C415" s="5">
        <v>45078</v>
      </c>
      <c r="D415" s="5">
        <v>45108</v>
      </c>
      <c r="E415" s="3">
        <v>4306.1000000000004</v>
      </c>
      <c r="F415" t="s">
        <v>812</v>
      </c>
      <c r="G415" t="s">
        <v>817</v>
      </c>
      <c r="H415" s="5" t="s">
        <v>825</v>
      </c>
      <c r="I415" s="7">
        <f t="shared" si="6"/>
        <v>998</v>
      </c>
      <c r="J415" s="13" t="str" cm="1">
        <f t="array" ref="J415">_xlfn.IFS(I415=0, "Settled", I415&lt;=30, "1-30", I415&lt;=90, "31-90", I415&lt;=365, "91-365", I415&gt;365, "1 Year+")</f>
        <v>1 Year+</v>
      </c>
      <c r="K415" t="s">
        <v>819</v>
      </c>
      <c r="L415" s="3" cm="1">
        <f t="array" ref="L415">_xlfn.IFS(F415="AUD",E415*$V$2,F415="CAD",E415*$V$3,F415="EUR",E415*$V$4,F415="GBP",E415*$V$5,F415="USD",E415*$V$6)</f>
        <v>5942.4179999999997</v>
      </c>
      <c r="M415" s="3" cm="1">
        <f t="array" ref="M415">_xlfn.IFS(G415="Paid", L415, G415="Partial", L415*0.5, G415="Open", 0)</f>
        <v>2971.2089999999998</v>
      </c>
      <c r="N415" s="3" cm="1">
        <f t="array" ref="N415">_xlfn.IFS(G415="Open", L415, G415="Partial", L415*0.5, G415="Paid", 0)</f>
        <v>2971.2089999999998</v>
      </c>
    </row>
    <row r="416" spans="1:14" x14ac:dyDescent="0.25">
      <c r="A416" t="s">
        <v>420</v>
      </c>
      <c r="B416" t="s">
        <v>808</v>
      </c>
      <c r="C416" s="5">
        <v>45549</v>
      </c>
      <c r="D416" s="5">
        <v>45579</v>
      </c>
      <c r="E416" s="3">
        <v>432.27</v>
      </c>
      <c r="F416" t="s">
        <v>815</v>
      </c>
      <c r="G416" t="s">
        <v>818</v>
      </c>
      <c r="H416" s="5">
        <v>45579</v>
      </c>
      <c r="I416" s="7">
        <f t="shared" si="6"/>
        <v>0</v>
      </c>
      <c r="J416" s="13" t="str" cm="1">
        <f t="array" ref="J416">_xlfn.IFS(I416=0, "Settled", I416&lt;=30, "1-30", I416&lt;=90, "31-90", I416&lt;=365, "91-365", I416&gt;365, "1 Year+")</f>
        <v>Settled</v>
      </c>
      <c r="K416" t="s">
        <v>819</v>
      </c>
      <c r="L416" s="3" cm="1">
        <f t="array" ref="L416">_xlfn.IFS(F416="AUD",E416*$V$2,F416="CAD",E416*$V$3,F416="EUR",E416*$V$4,F416="GBP",E416*$V$5,F416="USD",E416*$V$6)</f>
        <v>626.79149999999993</v>
      </c>
      <c r="M416" s="3" cm="1">
        <f t="array" ref="M416">_xlfn.IFS(G416="Paid", L416, G416="Partial", L416*0.5, G416="Open", 0)</f>
        <v>626.79149999999993</v>
      </c>
      <c r="N416" s="3" cm="1">
        <f t="array" ref="N416">_xlfn.IFS(G416="Open", L416, G416="Partial", L416*0.5, G416="Paid", 0)</f>
        <v>0</v>
      </c>
    </row>
    <row r="417" spans="1:14" x14ac:dyDescent="0.25">
      <c r="A417" t="s">
        <v>421</v>
      </c>
      <c r="B417" t="s">
        <v>806</v>
      </c>
      <c r="C417" s="5">
        <v>45260</v>
      </c>
      <c r="D417" s="5">
        <v>45290</v>
      </c>
      <c r="E417" s="3">
        <v>2075.2199999999998</v>
      </c>
      <c r="F417" t="s">
        <v>815</v>
      </c>
      <c r="G417" t="s">
        <v>817</v>
      </c>
      <c r="H417" s="5" t="s">
        <v>825</v>
      </c>
      <c r="I417" s="7">
        <f t="shared" si="6"/>
        <v>816</v>
      </c>
      <c r="J417" s="13" t="str" cm="1">
        <f t="array" ref="J417">_xlfn.IFS(I417=0, "Settled", I417&lt;=30, "1-30", I417&lt;=90, "31-90", I417&lt;=365, "91-365", I417&gt;365, "1 Year+")</f>
        <v>1 Year+</v>
      </c>
      <c r="K417" t="s">
        <v>819</v>
      </c>
      <c r="L417" s="3" cm="1">
        <f t="array" ref="L417">_xlfn.IFS(F417="AUD",E417*$V$2,F417="CAD",E417*$V$3,F417="EUR",E417*$V$4,F417="GBP",E417*$V$5,F417="USD",E417*$V$6)</f>
        <v>3009.0689999999995</v>
      </c>
      <c r="M417" s="3" cm="1">
        <f t="array" ref="M417">_xlfn.IFS(G417="Paid", L417, G417="Partial", L417*0.5, G417="Open", 0)</f>
        <v>1504.5344999999998</v>
      </c>
      <c r="N417" s="3" cm="1">
        <f t="array" ref="N417">_xlfn.IFS(G417="Open", L417, G417="Partial", L417*0.5, G417="Paid", 0)</f>
        <v>1504.5344999999998</v>
      </c>
    </row>
    <row r="418" spans="1:14" x14ac:dyDescent="0.25">
      <c r="A418" t="s">
        <v>422</v>
      </c>
      <c r="B418" t="s">
        <v>809</v>
      </c>
      <c r="C418" s="5">
        <v>44969</v>
      </c>
      <c r="D418" s="5">
        <v>44999</v>
      </c>
      <c r="E418" s="3">
        <v>2515.5700000000002</v>
      </c>
      <c r="F418" t="s">
        <v>813</v>
      </c>
      <c r="G418" t="s">
        <v>816</v>
      </c>
      <c r="H418" s="5" t="s">
        <v>825</v>
      </c>
      <c r="I418" s="7">
        <f t="shared" si="6"/>
        <v>1107</v>
      </c>
      <c r="J418" s="13" t="str" cm="1">
        <f t="array" ref="J418">_xlfn.IFS(I418=0, "Settled", I418&lt;=30, "1-30", I418&lt;=90, "31-90", I418&lt;=365, "91-365", I418&gt;365, "1 Year+")</f>
        <v>1 Year+</v>
      </c>
      <c r="K418" t="s">
        <v>819</v>
      </c>
      <c r="L418" s="3" cm="1">
        <f t="array" ref="L418">_xlfn.IFS(F418="AUD",E418*$V$2,F418="CAD",E418*$V$3,F418="EUR",E418*$V$4,F418="GBP",E418*$V$5,F418="USD",E418*$V$6)</f>
        <v>1886.6775000000002</v>
      </c>
      <c r="M418" s="3" cm="1">
        <f t="array" ref="M418">_xlfn.IFS(G418="Paid", L418, G418="Partial", L418*0.5, G418="Open", 0)</f>
        <v>0</v>
      </c>
      <c r="N418" s="3" cm="1">
        <f t="array" ref="N418">_xlfn.IFS(G418="Open", L418, G418="Partial", L418*0.5, G418="Paid", 0)</f>
        <v>1886.6775000000002</v>
      </c>
    </row>
    <row r="419" spans="1:14" x14ac:dyDescent="0.25">
      <c r="A419" t="s">
        <v>423</v>
      </c>
      <c r="B419" t="s">
        <v>809</v>
      </c>
      <c r="C419" s="5">
        <v>45265</v>
      </c>
      <c r="D419" s="5">
        <v>45295</v>
      </c>
      <c r="E419" s="3">
        <v>1960.15</v>
      </c>
      <c r="F419" t="s">
        <v>814</v>
      </c>
      <c r="G419" t="s">
        <v>817</v>
      </c>
      <c r="H419" s="5" t="s">
        <v>825</v>
      </c>
      <c r="I419" s="7">
        <f t="shared" si="6"/>
        <v>811</v>
      </c>
      <c r="J419" s="13" t="str" cm="1">
        <f t="array" ref="J419">_xlfn.IFS(I419=0, "Settled", I419&lt;=30, "1-30", I419&lt;=90, "31-90", I419&lt;=365, "91-365", I419&gt;365, "1 Year+")</f>
        <v>1 Year+</v>
      </c>
      <c r="K419" t="s">
        <v>819</v>
      </c>
      <c r="L419" s="3" cm="1">
        <f t="array" ref="L419">_xlfn.IFS(F419="AUD",E419*$V$2,F419="CAD",E419*$V$3,F419="EUR",E419*$V$4,F419="GBP",E419*$V$5,F419="USD",E419*$V$6)</f>
        <v>1960.15</v>
      </c>
      <c r="M419" s="3" cm="1">
        <f t="array" ref="M419">_xlfn.IFS(G419="Paid", L419, G419="Partial", L419*0.5, G419="Open", 0)</f>
        <v>980.07500000000005</v>
      </c>
      <c r="N419" s="3" cm="1">
        <f t="array" ref="N419">_xlfn.IFS(G419="Open", L419, G419="Partial", L419*0.5, G419="Paid", 0)</f>
        <v>980.07500000000005</v>
      </c>
    </row>
    <row r="420" spans="1:14" x14ac:dyDescent="0.25">
      <c r="A420" t="s">
        <v>424</v>
      </c>
      <c r="B420" t="s">
        <v>808</v>
      </c>
      <c r="C420" s="5">
        <v>45131</v>
      </c>
      <c r="D420" s="5">
        <v>45161</v>
      </c>
      <c r="E420" s="3">
        <v>3168.02</v>
      </c>
      <c r="F420" t="s">
        <v>815</v>
      </c>
      <c r="G420" t="s">
        <v>817</v>
      </c>
      <c r="H420" s="5" t="s">
        <v>825</v>
      </c>
      <c r="I420" s="7">
        <f t="shared" si="6"/>
        <v>945</v>
      </c>
      <c r="J420" s="13" t="str" cm="1">
        <f t="array" ref="J420">_xlfn.IFS(I420=0, "Settled", I420&lt;=30, "1-30", I420&lt;=90, "31-90", I420&lt;=365, "91-365", I420&gt;365, "1 Year+")</f>
        <v>1 Year+</v>
      </c>
      <c r="K420" t="s">
        <v>819</v>
      </c>
      <c r="L420" s="3" cm="1">
        <f t="array" ref="L420">_xlfn.IFS(F420="AUD",E420*$V$2,F420="CAD",E420*$V$3,F420="EUR",E420*$V$4,F420="GBP",E420*$V$5,F420="USD",E420*$V$6)</f>
        <v>4593.6289999999999</v>
      </c>
      <c r="M420" s="3" cm="1">
        <f t="array" ref="M420">_xlfn.IFS(G420="Paid", L420, G420="Partial", L420*0.5, G420="Open", 0)</f>
        <v>2296.8145</v>
      </c>
      <c r="N420" s="3" cm="1">
        <f t="array" ref="N420">_xlfn.IFS(G420="Open", L420, G420="Partial", L420*0.5, G420="Paid", 0)</f>
        <v>2296.8145</v>
      </c>
    </row>
    <row r="421" spans="1:14" x14ac:dyDescent="0.25">
      <c r="A421" t="s">
        <v>425</v>
      </c>
      <c r="B421" t="s">
        <v>810</v>
      </c>
      <c r="C421" s="5">
        <v>45077</v>
      </c>
      <c r="D421" s="5">
        <v>45107</v>
      </c>
      <c r="E421" s="3">
        <v>576.42999999999995</v>
      </c>
      <c r="F421" t="s">
        <v>814</v>
      </c>
      <c r="G421" t="s">
        <v>818</v>
      </c>
      <c r="H421" s="5">
        <v>45107</v>
      </c>
      <c r="I421" s="7">
        <f t="shared" si="6"/>
        <v>0</v>
      </c>
      <c r="J421" s="13" t="str" cm="1">
        <f t="array" ref="J421">_xlfn.IFS(I421=0, "Settled", I421&lt;=30, "1-30", I421&lt;=90, "31-90", I421&lt;=365, "91-365", I421&gt;365, "1 Year+")</f>
        <v>Settled</v>
      </c>
      <c r="K421" t="s">
        <v>819</v>
      </c>
      <c r="L421" s="3" cm="1">
        <f t="array" ref="L421">_xlfn.IFS(F421="AUD",E421*$V$2,F421="CAD",E421*$V$3,F421="EUR",E421*$V$4,F421="GBP",E421*$V$5,F421="USD",E421*$V$6)</f>
        <v>576.42999999999995</v>
      </c>
      <c r="M421" s="3" cm="1">
        <f t="array" ref="M421">_xlfn.IFS(G421="Paid", L421, G421="Partial", L421*0.5, G421="Open", 0)</f>
        <v>576.42999999999995</v>
      </c>
      <c r="N421" s="3" cm="1">
        <f t="array" ref="N421">_xlfn.IFS(G421="Open", L421, G421="Partial", L421*0.5, G421="Paid", 0)</f>
        <v>0</v>
      </c>
    </row>
    <row r="422" spans="1:14" x14ac:dyDescent="0.25">
      <c r="A422" t="s">
        <v>426</v>
      </c>
      <c r="B422" t="s">
        <v>809</v>
      </c>
      <c r="C422" s="5">
        <v>45670</v>
      </c>
      <c r="D422" s="5">
        <v>45700</v>
      </c>
      <c r="E422" s="3">
        <v>460.35</v>
      </c>
      <c r="F422" t="s">
        <v>814</v>
      </c>
      <c r="G422" t="s">
        <v>816</v>
      </c>
      <c r="H422" s="5" t="s">
        <v>825</v>
      </c>
      <c r="I422" s="7">
        <f t="shared" si="6"/>
        <v>406</v>
      </c>
      <c r="J422" s="13" t="str" cm="1">
        <f t="array" ref="J422">_xlfn.IFS(I422=0, "Settled", I422&lt;=30, "1-30", I422&lt;=90, "31-90", I422&lt;=365, "91-365", I422&gt;365, "1 Year+")</f>
        <v>1 Year+</v>
      </c>
      <c r="K422" t="s">
        <v>819</v>
      </c>
      <c r="L422" s="3" cm="1">
        <f t="array" ref="L422">_xlfn.IFS(F422="AUD",E422*$V$2,F422="CAD",E422*$V$3,F422="EUR",E422*$V$4,F422="GBP",E422*$V$5,F422="USD",E422*$V$6)</f>
        <v>460.35</v>
      </c>
      <c r="M422" s="3" cm="1">
        <f t="array" ref="M422">_xlfn.IFS(G422="Paid", L422, G422="Partial", L422*0.5, G422="Open", 0)</f>
        <v>0</v>
      </c>
      <c r="N422" s="3" cm="1">
        <f t="array" ref="N422">_xlfn.IFS(G422="Open", L422, G422="Partial", L422*0.5, G422="Paid", 0)</f>
        <v>460.35</v>
      </c>
    </row>
    <row r="423" spans="1:14" x14ac:dyDescent="0.25">
      <c r="A423" t="s">
        <v>427</v>
      </c>
      <c r="B423" t="s">
        <v>809</v>
      </c>
      <c r="C423" s="5">
        <v>45704</v>
      </c>
      <c r="D423" s="5">
        <v>45734</v>
      </c>
      <c r="E423" s="3">
        <v>2305.42</v>
      </c>
      <c r="F423" t="s">
        <v>814</v>
      </c>
      <c r="G423" t="s">
        <v>816</v>
      </c>
      <c r="H423" s="5" t="s">
        <v>825</v>
      </c>
      <c r="I423" s="7">
        <f t="shared" si="6"/>
        <v>372</v>
      </c>
      <c r="J423" s="13" t="str" cm="1">
        <f t="array" ref="J423">_xlfn.IFS(I423=0, "Settled", I423&lt;=30, "1-30", I423&lt;=90, "31-90", I423&lt;=365, "91-365", I423&gt;365, "1 Year+")</f>
        <v>1 Year+</v>
      </c>
      <c r="K423" t="s">
        <v>819</v>
      </c>
      <c r="L423" s="3" cm="1">
        <f t="array" ref="L423">_xlfn.IFS(F423="AUD",E423*$V$2,F423="CAD",E423*$V$3,F423="EUR",E423*$V$4,F423="GBP",E423*$V$5,F423="USD",E423*$V$6)</f>
        <v>2305.42</v>
      </c>
      <c r="M423" s="3" cm="1">
        <f t="array" ref="M423">_xlfn.IFS(G423="Paid", L423, G423="Partial", L423*0.5, G423="Open", 0)</f>
        <v>0</v>
      </c>
      <c r="N423" s="3" cm="1">
        <f t="array" ref="N423">_xlfn.IFS(G423="Open", L423, G423="Partial", L423*0.5, G423="Paid", 0)</f>
        <v>2305.42</v>
      </c>
    </row>
    <row r="424" spans="1:14" x14ac:dyDescent="0.25">
      <c r="A424" t="s">
        <v>428</v>
      </c>
      <c r="B424" t="s">
        <v>808</v>
      </c>
      <c r="C424" s="5">
        <v>45276</v>
      </c>
      <c r="D424" s="5">
        <v>45306</v>
      </c>
      <c r="E424" s="3">
        <v>2623.62</v>
      </c>
      <c r="F424" t="s">
        <v>813</v>
      </c>
      <c r="G424" t="s">
        <v>817</v>
      </c>
      <c r="H424" s="5" t="s">
        <v>825</v>
      </c>
      <c r="I424" s="7">
        <f t="shared" si="6"/>
        <v>800</v>
      </c>
      <c r="J424" s="13" t="str" cm="1">
        <f t="array" ref="J424">_xlfn.IFS(I424=0, "Settled", I424&lt;=30, "1-30", I424&lt;=90, "31-90", I424&lt;=365, "91-365", I424&gt;365, "1 Year+")</f>
        <v>1 Year+</v>
      </c>
      <c r="K424" t="s">
        <v>819</v>
      </c>
      <c r="L424" s="3" cm="1">
        <f t="array" ref="L424">_xlfn.IFS(F424="AUD",E424*$V$2,F424="CAD",E424*$V$3,F424="EUR",E424*$V$4,F424="GBP",E424*$V$5,F424="USD",E424*$V$6)</f>
        <v>1967.7149999999999</v>
      </c>
      <c r="M424" s="3" cm="1">
        <f t="array" ref="M424">_xlfn.IFS(G424="Paid", L424, G424="Partial", L424*0.5, G424="Open", 0)</f>
        <v>983.85749999999996</v>
      </c>
      <c r="N424" s="3" cm="1">
        <f t="array" ref="N424">_xlfn.IFS(G424="Open", L424, G424="Partial", L424*0.5, G424="Paid", 0)</f>
        <v>983.85749999999996</v>
      </c>
    </row>
    <row r="425" spans="1:14" x14ac:dyDescent="0.25">
      <c r="A425" t="s">
        <v>429</v>
      </c>
      <c r="B425" t="s">
        <v>807</v>
      </c>
      <c r="C425" s="5">
        <v>45342</v>
      </c>
      <c r="D425" s="5">
        <v>45372</v>
      </c>
      <c r="E425" s="3">
        <v>1571.77</v>
      </c>
      <c r="F425" t="s">
        <v>811</v>
      </c>
      <c r="G425" t="s">
        <v>816</v>
      </c>
      <c r="H425" s="5" t="s">
        <v>825</v>
      </c>
      <c r="I425" s="7">
        <f t="shared" si="6"/>
        <v>734</v>
      </c>
      <c r="J425" s="13" t="str" cm="1">
        <f t="array" ref="J425">_xlfn.IFS(I425=0, "Settled", I425&lt;=30, "1-30", I425&lt;=90, "31-90", I425&lt;=365, "91-365", I425&gt;365, "1 Year+")</f>
        <v>1 Year+</v>
      </c>
      <c r="K425" t="s">
        <v>819</v>
      </c>
      <c r="L425" s="3" cm="1">
        <f t="array" ref="L425">_xlfn.IFS(F425="AUD",E425*$V$2,F425="CAD",E425*$V$3,F425="EUR",E425*$V$4,F425="GBP",E425*$V$5,F425="USD",E425*$V$6)</f>
        <v>1351.7221999999999</v>
      </c>
      <c r="M425" s="3" cm="1">
        <f t="array" ref="M425">_xlfn.IFS(G425="Paid", L425, G425="Partial", L425*0.5, G425="Open", 0)</f>
        <v>0</v>
      </c>
      <c r="N425" s="3" cm="1">
        <f t="array" ref="N425">_xlfn.IFS(G425="Open", L425, G425="Partial", L425*0.5, G425="Paid", 0)</f>
        <v>1351.7221999999999</v>
      </c>
    </row>
    <row r="426" spans="1:14" x14ac:dyDescent="0.25">
      <c r="A426" t="s">
        <v>430</v>
      </c>
      <c r="B426" t="s">
        <v>807</v>
      </c>
      <c r="C426" s="5">
        <v>45061</v>
      </c>
      <c r="D426" s="5">
        <v>45091</v>
      </c>
      <c r="E426" s="3">
        <v>4241.5600000000004</v>
      </c>
      <c r="F426" t="s">
        <v>812</v>
      </c>
      <c r="G426" t="s">
        <v>816</v>
      </c>
      <c r="H426" s="5" t="s">
        <v>825</v>
      </c>
      <c r="I426" s="7">
        <f t="shared" si="6"/>
        <v>1015</v>
      </c>
      <c r="J426" s="13" t="str" cm="1">
        <f t="array" ref="J426">_xlfn.IFS(I426=0, "Settled", I426&lt;=30, "1-30", I426&lt;=90, "31-90", I426&lt;=365, "91-365", I426&gt;365, "1 Year+")</f>
        <v>1 Year+</v>
      </c>
      <c r="K426" t="s">
        <v>819</v>
      </c>
      <c r="L426" s="3" cm="1">
        <f t="array" ref="L426">_xlfn.IFS(F426="AUD",E426*$V$2,F426="CAD",E426*$V$3,F426="EUR",E426*$V$4,F426="GBP",E426*$V$5,F426="USD",E426*$V$6)</f>
        <v>5853.3527999999997</v>
      </c>
      <c r="M426" s="3" cm="1">
        <f t="array" ref="M426">_xlfn.IFS(G426="Paid", L426, G426="Partial", L426*0.5, G426="Open", 0)</f>
        <v>0</v>
      </c>
      <c r="N426" s="3" cm="1">
        <f t="array" ref="N426">_xlfn.IFS(G426="Open", L426, G426="Partial", L426*0.5, G426="Paid", 0)</f>
        <v>5853.3527999999997</v>
      </c>
    </row>
    <row r="427" spans="1:14" x14ac:dyDescent="0.25">
      <c r="A427" t="s">
        <v>431</v>
      </c>
      <c r="B427" t="s">
        <v>806</v>
      </c>
      <c r="C427" s="5">
        <v>45086</v>
      </c>
      <c r="D427" s="5">
        <v>45116</v>
      </c>
      <c r="E427" s="3">
        <v>3066.36</v>
      </c>
      <c r="F427" t="s">
        <v>812</v>
      </c>
      <c r="G427" t="s">
        <v>818</v>
      </c>
      <c r="H427" s="5">
        <v>45116</v>
      </c>
      <c r="I427" s="7">
        <f t="shared" si="6"/>
        <v>0</v>
      </c>
      <c r="J427" s="13" t="str" cm="1">
        <f t="array" ref="J427">_xlfn.IFS(I427=0, "Settled", I427&lt;=30, "1-30", I427&lt;=90, "31-90", I427&lt;=365, "91-365", I427&gt;365, "1 Year+")</f>
        <v>Settled</v>
      </c>
      <c r="K427" t="s">
        <v>819</v>
      </c>
      <c r="L427" s="3" cm="1">
        <f t="array" ref="L427">_xlfn.IFS(F427="AUD",E427*$V$2,F427="CAD",E427*$V$3,F427="EUR",E427*$V$4,F427="GBP",E427*$V$5,F427="USD",E427*$V$6)</f>
        <v>4231.5767999999998</v>
      </c>
      <c r="M427" s="3" cm="1">
        <f t="array" ref="M427">_xlfn.IFS(G427="Paid", L427, G427="Partial", L427*0.5, G427="Open", 0)</f>
        <v>4231.5767999999998</v>
      </c>
      <c r="N427" s="3" cm="1">
        <f t="array" ref="N427">_xlfn.IFS(G427="Open", L427, G427="Partial", L427*0.5, G427="Paid", 0)</f>
        <v>0</v>
      </c>
    </row>
    <row r="428" spans="1:14" x14ac:dyDescent="0.25">
      <c r="A428" t="s">
        <v>432</v>
      </c>
      <c r="B428" t="s">
        <v>808</v>
      </c>
      <c r="C428" s="5">
        <v>45653</v>
      </c>
      <c r="D428" s="5">
        <v>45683</v>
      </c>
      <c r="E428" s="3">
        <v>1623.29</v>
      </c>
      <c r="F428" t="s">
        <v>815</v>
      </c>
      <c r="G428" t="s">
        <v>817</v>
      </c>
      <c r="H428" s="5" t="s">
        <v>825</v>
      </c>
      <c r="I428" s="7">
        <f t="shared" si="6"/>
        <v>423</v>
      </c>
      <c r="J428" s="13" t="str" cm="1">
        <f t="array" ref="J428">_xlfn.IFS(I428=0, "Settled", I428&lt;=30, "1-30", I428&lt;=90, "31-90", I428&lt;=365, "91-365", I428&gt;365, "1 Year+")</f>
        <v>1 Year+</v>
      </c>
      <c r="K428" t="s">
        <v>819</v>
      </c>
      <c r="L428" s="3" cm="1">
        <f t="array" ref="L428">_xlfn.IFS(F428="AUD",E428*$V$2,F428="CAD",E428*$V$3,F428="EUR",E428*$V$4,F428="GBP",E428*$V$5,F428="USD",E428*$V$6)</f>
        <v>2353.7705000000001</v>
      </c>
      <c r="M428" s="3" cm="1">
        <f t="array" ref="M428">_xlfn.IFS(G428="Paid", L428, G428="Partial", L428*0.5, G428="Open", 0)</f>
        <v>1176.88525</v>
      </c>
      <c r="N428" s="3" cm="1">
        <f t="array" ref="N428">_xlfn.IFS(G428="Open", L428, G428="Partial", L428*0.5, G428="Paid", 0)</f>
        <v>1176.88525</v>
      </c>
    </row>
    <row r="429" spans="1:14" x14ac:dyDescent="0.25">
      <c r="A429" t="s">
        <v>433</v>
      </c>
      <c r="B429" t="s">
        <v>806</v>
      </c>
      <c r="C429" s="5">
        <v>45115</v>
      </c>
      <c r="D429" s="5">
        <v>45145</v>
      </c>
      <c r="E429" s="3">
        <v>4738.84</v>
      </c>
      <c r="F429" t="s">
        <v>814</v>
      </c>
      <c r="G429" t="s">
        <v>817</v>
      </c>
      <c r="H429" s="5" t="s">
        <v>825</v>
      </c>
      <c r="I429" s="7">
        <f t="shared" si="6"/>
        <v>961</v>
      </c>
      <c r="J429" s="13" t="str" cm="1">
        <f t="array" ref="J429">_xlfn.IFS(I429=0, "Settled", I429&lt;=30, "1-30", I429&lt;=90, "31-90", I429&lt;=365, "91-365", I429&gt;365, "1 Year+")</f>
        <v>1 Year+</v>
      </c>
      <c r="K429" t="s">
        <v>819</v>
      </c>
      <c r="L429" s="3" cm="1">
        <f t="array" ref="L429">_xlfn.IFS(F429="AUD",E429*$V$2,F429="CAD",E429*$V$3,F429="EUR",E429*$V$4,F429="GBP",E429*$V$5,F429="USD",E429*$V$6)</f>
        <v>4738.84</v>
      </c>
      <c r="M429" s="3" cm="1">
        <f t="array" ref="M429">_xlfn.IFS(G429="Paid", L429, G429="Partial", L429*0.5, G429="Open", 0)</f>
        <v>2369.42</v>
      </c>
      <c r="N429" s="3" cm="1">
        <f t="array" ref="N429">_xlfn.IFS(G429="Open", L429, G429="Partial", L429*0.5, G429="Paid", 0)</f>
        <v>2369.42</v>
      </c>
    </row>
    <row r="430" spans="1:14" x14ac:dyDescent="0.25">
      <c r="A430" t="s">
        <v>434</v>
      </c>
      <c r="B430" t="s">
        <v>806</v>
      </c>
      <c r="C430" s="5">
        <v>45179</v>
      </c>
      <c r="D430" s="5">
        <v>45209</v>
      </c>
      <c r="E430" s="3">
        <v>2769.92</v>
      </c>
      <c r="F430" t="s">
        <v>812</v>
      </c>
      <c r="G430" t="s">
        <v>817</v>
      </c>
      <c r="H430" s="5" t="s">
        <v>825</v>
      </c>
      <c r="I430" s="7">
        <f t="shared" si="6"/>
        <v>897</v>
      </c>
      <c r="J430" s="13" t="str" cm="1">
        <f t="array" ref="J430">_xlfn.IFS(I430=0, "Settled", I430&lt;=30, "1-30", I430&lt;=90, "31-90", I430&lt;=365, "91-365", I430&gt;365, "1 Year+")</f>
        <v>1 Year+</v>
      </c>
      <c r="K430" t="s">
        <v>819</v>
      </c>
      <c r="L430" s="3" cm="1">
        <f t="array" ref="L430">_xlfn.IFS(F430="AUD",E430*$V$2,F430="CAD",E430*$V$3,F430="EUR",E430*$V$4,F430="GBP",E430*$V$5,F430="USD",E430*$V$6)</f>
        <v>3822.4895999999999</v>
      </c>
      <c r="M430" s="3" cm="1">
        <f t="array" ref="M430">_xlfn.IFS(G430="Paid", L430, G430="Partial", L430*0.5, G430="Open", 0)</f>
        <v>1911.2447999999999</v>
      </c>
      <c r="N430" s="3" cm="1">
        <f t="array" ref="N430">_xlfn.IFS(G430="Open", L430, G430="Partial", L430*0.5, G430="Paid", 0)</f>
        <v>1911.2447999999999</v>
      </c>
    </row>
    <row r="431" spans="1:14" x14ac:dyDescent="0.25">
      <c r="A431" t="s">
        <v>435</v>
      </c>
      <c r="B431" t="s">
        <v>806</v>
      </c>
      <c r="C431" s="5">
        <v>45641</v>
      </c>
      <c r="D431" s="5">
        <v>45671</v>
      </c>
      <c r="E431" s="3">
        <v>2883.34</v>
      </c>
      <c r="F431" t="s">
        <v>813</v>
      </c>
      <c r="G431" t="s">
        <v>816</v>
      </c>
      <c r="H431" s="5" t="s">
        <v>825</v>
      </c>
      <c r="I431" s="7">
        <f t="shared" si="6"/>
        <v>435</v>
      </c>
      <c r="J431" s="13" t="str" cm="1">
        <f t="array" ref="J431">_xlfn.IFS(I431=0, "Settled", I431&lt;=30, "1-30", I431&lt;=90, "31-90", I431&lt;=365, "91-365", I431&gt;365, "1 Year+")</f>
        <v>1 Year+</v>
      </c>
      <c r="K431" t="s">
        <v>819</v>
      </c>
      <c r="L431" s="3" cm="1">
        <f t="array" ref="L431">_xlfn.IFS(F431="AUD",E431*$V$2,F431="CAD",E431*$V$3,F431="EUR",E431*$V$4,F431="GBP",E431*$V$5,F431="USD",E431*$V$6)</f>
        <v>2162.5050000000001</v>
      </c>
      <c r="M431" s="3" cm="1">
        <f t="array" ref="M431">_xlfn.IFS(G431="Paid", L431, G431="Partial", L431*0.5, G431="Open", 0)</f>
        <v>0</v>
      </c>
      <c r="N431" s="3" cm="1">
        <f t="array" ref="N431">_xlfn.IFS(G431="Open", L431, G431="Partial", L431*0.5, G431="Paid", 0)</f>
        <v>2162.5050000000001</v>
      </c>
    </row>
    <row r="432" spans="1:14" x14ac:dyDescent="0.25">
      <c r="A432" t="s">
        <v>436</v>
      </c>
      <c r="B432" t="s">
        <v>808</v>
      </c>
      <c r="C432" s="5">
        <v>45447</v>
      </c>
      <c r="D432" s="5">
        <v>45477</v>
      </c>
      <c r="E432" s="3">
        <v>2334.1799999999998</v>
      </c>
      <c r="F432" t="s">
        <v>815</v>
      </c>
      <c r="G432" t="s">
        <v>816</v>
      </c>
      <c r="H432" s="5" t="s">
        <v>825</v>
      </c>
      <c r="I432" s="7">
        <f t="shared" si="6"/>
        <v>629</v>
      </c>
      <c r="J432" s="13" t="str" cm="1">
        <f t="array" ref="J432">_xlfn.IFS(I432=0, "Settled", I432&lt;=30, "1-30", I432&lt;=90, "31-90", I432&lt;=365, "91-365", I432&gt;365, "1 Year+")</f>
        <v>1 Year+</v>
      </c>
      <c r="K432" t="s">
        <v>819</v>
      </c>
      <c r="L432" s="3" cm="1">
        <f t="array" ref="L432">_xlfn.IFS(F432="AUD",E432*$V$2,F432="CAD",E432*$V$3,F432="EUR",E432*$V$4,F432="GBP",E432*$V$5,F432="USD",E432*$V$6)</f>
        <v>3384.5609999999997</v>
      </c>
      <c r="M432" s="3" cm="1">
        <f t="array" ref="M432">_xlfn.IFS(G432="Paid", L432, G432="Partial", L432*0.5, G432="Open", 0)</f>
        <v>0</v>
      </c>
      <c r="N432" s="3" cm="1">
        <f t="array" ref="N432">_xlfn.IFS(G432="Open", L432, G432="Partial", L432*0.5, G432="Paid", 0)</f>
        <v>3384.5609999999997</v>
      </c>
    </row>
    <row r="433" spans="1:14" x14ac:dyDescent="0.25">
      <c r="A433" t="s">
        <v>437</v>
      </c>
      <c r="B433" t="s">
        <v>810</v>
      </c>
      <c r="C433" s="5">
        <v>45219</v>
      </c>
      <c r="D433" s="5">
        <v>45249</v>
      </c>
      <c r="E433" s="3">
        <v>3148.17</v>
      </c>
      <c r="F433" t="s">
        <v>814</v>
      </c>
      <c r="G433" t="s">
        <v>816</v>
      </c>
      <c r="H433" s="5" t="s">
        <v>825</v>
      </c>
      <c r="I433" s="7">
        <f t="shared" si="6"/>
        <v>857</v>
      </c>
      <c r="J433" s="13" t="str" cm="1">
        <f t="array" ref="J433">_xlfn.IFS(I433=0, "Settled", I433&lt;=30, "1-30", I433&lt;=90, "31-90", I433&lt;=365, "91-365", I433&gt;365, "1 Year+")</f>
        <v>1 Year+</v>
      </c>
      <c r="K433" t="s">
        <v>819</v>
      </c>
      <c r="L433" s="3" cm="1">
        <f t="array" ref="L433">_xlfn.IFS(F433="AUD",E433*$V$2,F433="CAD",E433*$V$3,F433="EUR",E433*$V$4,F433="GBP",E433*$V$5,F433="USD",E433*$V$6)</f>
        <v>3148.17</v>
      </c>
      <c r="M433" s="3" cm="1">
        <f t="array" ref="M433">_xlfn.IFS(G433="Paid", L433, G433="Partial", L433*0.5, G433="Open", 0)</f>
        <v>0</v>
      </c>
      <c r="N433" s="3" cm="1">
        <f t="array" ref="N433">_xlfn.IFS(G433="Open", L433, G433="Partial", L433*0.5, G433="Paid", 0)</f>
        <v>3148.17</v>
      </c>
    </row>
    <row r="434" spans="1:14" x14ac:dyDescent="0.25">
      <c r="A434" t="s">
        <v>438</v>
      </c>
      <c r="B434" t="s">
        <v>810</v>
      </c>
      <c r="C434" s="5">
        <v>45573</v>
      </c>
      <c r="D434" s="5">
        <v>45603</v>
      </c>
      <c r="E434" s="3">
        <v>1378.14</v>
      </c>
      <c r="F434" t="s">
        <v>813</v>
      </c>
      <c r="G434" t="s">
        <v>818</v>
      </c>
      <c r="H434" s="5">
        <v>45603</v>
      </c>
      <c r="I434" s="7">
        <f t="shared" si="6"/>
        <v>0</v>
      </c>
      <c r="J434" s="13" t="str" cm="1">
        <f t="array" ref="J434">_xlfn.IFS(I434=0, "Settled", I434&lt;=30, "1-30", I434&lt;=90, "31-90", I434&lt;=365, "91-365", I434&gt;365, "1 Year+")</f>
        <v>Settled</v>
      </c>
      <c r="K434" t="s">
        <v>819</v>
      </c>
      <c r="L434" s="3" cm="1">
        <f t="array" ref="L434">_xlfn.IFS(F434="AUD",E434*$V$2,F434="CAD",E434*$V$3,F434="EUR",E434*$V$4,F434="GBP",E434*$V$5,F434="USD",E434*$V$6)</f>
        <v>1033.605</v>
      </c>
      <c r="M434" s="3" cm="1">
        <f t="array" ref="M434">_xlfn.IFS(G434="Paid", L434, G434="Partial", L434*0.5, G434="Open", 0)</f>
        <v>1033.605</v>
      </c>
      <c r="N434" s="3" cm="1">
        <f t="array" ref="N434">_xlfn.IFS(G434="Open", L434, G434="Partial", L434*0.5, G434="Paid", 0)</f>
        <v>0</v>
      </c>
    </row>
    <row r="435" spans="1:14" x14ac:dyDescent="0.25">
      <c r="A435" t="s">
        <v>439</v>
      </c>
      <c r="B435" t="s">
        <v>809</v>
      </c>
      <c r="C435" s="5">
        <v>45699</v>
      </c>
      <c r="D435" s="5">
        <v>45729</v>
      </c>
      <c r="E435" s="3">
        <v>275.33999999999997</v>
      </c>
      <c r="F435" t="s">
        <v>813</v>
      </c>
      <c r="G435" t="s">
        <v>816</v>
      </c>
      <c r="H435" s="5" t="s">
        <v>825</v>
      </c>
      <c r="I435" s="7">
        <f t="shared" si="6"/>
        <v>377</v>
      </c>
      <c r="J435" s="13" t="str" cm="1">
        <f t="array" ref="J435">_xlfn.IFS(I435=0, "Settled", I435&lt;=30, "1-30", I435&lt;=90, "31-90", I435&lt;=365, "91-365", I435&gt;365, "1 Year+")</f>
        <v>1 Year+</v>
      </c>
      <c r="K435" t="s">
        <v>819</v>
      </c>
      <c r="L435" s="3" cm="1">
        <f t="array" ref="L435">_xlfn.IFS(F435="AUD",E435*$V$2,F435="CAD",E435*$V$3,F435="EUR",E435*$V$4,F435="GBP",E435*$V$5,F435="USD",E435*$V$6)</f>
        <v>206.505</v>
      </c>
      <c r="M435" s="3" cm="1">
        <f t="array" ref="M435">_xlfn.IFS(G435="Paid", L435, G435="Partial", L435*0.5, G435="Open", 0)</f>
        <v>0</v>
      </c>
      <c r="N435" s="3" cm="1">
        <f t="array" ref="N435">_xlfn.IFS(G435="Open", L435, G435="Partial", L435*0.5, G435="Paid", 0)</f>
        <v>206.505</v>
      </c>
    </row>
    <row r="436" spans="1:14" x14ac:dyDescent="0.25">
      <c r="A436" t="s">
        <v>440</v>
      </c>
      <c r="B436" t="s">
        <v>806</v>
      </c>
      <c r="C436" s="5">
        <v>45016</v>
      </c>
      <c r="D436" s="5">
        <v>45046</v>
      </c>
      <c r="E436" s="3">
        <v>2274.14</v>
      </c>
      <c r="F436" t="s">
        <v>811</v>
      </c>
      <c r="G436" t="s">
        <v>817</v>
      </c>
      <c r="H436" s="5" t="s">
        <v>825</v>
      </c>
      <c r="I436" s="7">
        <f t="shared" si="6"/>
        <v>1060</v>
      </c>
      <c r="J436" s="13" t="str" cm="1">
        <f t="array" ref="J436">_xlfn.IFS(I436=0, "Settled", I436&lt;=30, "1-30", I436&lt;=90, "31-90", I436&lt;=365, "91-365", I436&gt;365, "1 Year+")</f>
        <v>1 Year+</v>
      </c>
      <c r="K436" t="s">
        <v>819</v>
      </c>
      <c r="L436" s="3" cm="1">
        <f t="array" ref="L436">_xlfn.IFS(F436="AUD",E436*$V$2,F436="CAD",E436*$V$3,F436="EUR",E436*$V$4,F436="GBP",E436*$V$5,F436="USD",E436*$V$6)</f>
        <v>1955.7603999999999</v>
      </c>
      <c r="M436" s="3" cm="1">
        <f t="array" ref="M436">_xlfn.IFS(G436="Paid", L436, G436="Partial", L436*0.5, G436="Open", 0)</f>
        <v>977.88019999999995</v>
      </c>
      <c r="N436" s="3" cm="1">
        <f t="array" ref="N436">_xlfn.IFS(G436="Open", L436, G436="Partial", L436*0.5, G436="Paid", 0)</f>
        <v>977.88019999999995</v>
      </c>
    </row>
    <row r="437" spans="1:14" x14ac:dyDescent="0.25">
      <c r="A437" t="s">
        <v>441</v>
      </c>
      <c r="B437" t="s">
        <v>809</v>
      </c>
      <c r="C437" s="5">
        <v>45181</v>
      </c>
      <c r="D437" s="5">
        <v>45211</v>
      </c>
      <c r="E437" s="3">
        <v>800.97</v>
      </c>
      <c r="F437" t="s">
        <v>812</v>
      </c>
      <c r="G437" t="s">
        <v>818</v>
      </c>
      <c r="H437" s="5">
        <v>45211</v>
      </c>
      <c r="I437" s="7">
        <f t="shared" si="6"/>
        <v>0</v>
      </c>
      <c r="J437" s="13" t="str" cm="1">
        <f t="array" ref="J437">_xlfn.IFS(I437=0, "Settled", I437&lt;=30, "1-30", I437&lt;=90, "31-90", I437&lt;=365, "91-365", I437&gt;365, "1 Year+")</f>
        <v>Settled</v>
      </c>
      <c r="K437" t="s">
        <v>819</v>
      </c>
      <c r="L437" s="3" cm="1">
        <f t="array" ref="L437">_xlfn.IFS(F437="AUD",E437*$V$2,F437="CAD",E437*$V$3,F437="EUR",E437*$V$4,F437="GBP",E437*$V$5,F437="USD",E437*$V$6)</f>
        <v>1105.3386</v>
      </c>
      <c r="M437" s="3" cm="1">
        <f t="array" ref="M437">_xlfn.IFS(G437="Paid", L437, G437="Partial", L437*0.5, G437="Open", 0)</f>
        <v>1105.3386</v>
      </c>
      <c r="N437" s="3" cm="1">
        <f t="array" ref="N437">_xlfn.IFS(G437="Open", L437, G437="Partial", L437*0.5, G437="Paid", 0)</f>
        <v>0</v>
      </c>
    </row>
    <row r="438" spans="1:14" x14ac:dyDescent="0.25">
      <c r="A438" t="s">
        <v>442</v>
      </c>
      <c r="B438" t="s">
        <v>808</v>
      </c>
      <c r="C438" s="5">
        <v>44964</v>
      </c>
      <c r="D438" s="5">
        <v>44994</v>
      </c>
      <c r="E438" s="3">
        <v>2595.11</v>
      </c>
      <c r="F438" t="s">
        <v>815</v>
      </c>
      <c r="G438" t="s">
        <v>816</v>
      </c>
      <c r="H438" s="5" t="s">
        <v>825</v>
      </c>
      <c r="I438" s="7">
        <f t="shared" si="6"/>
        <v>1112</v>
      </c>
      <c r="J438" s="13" t="str" cm="1">
        <f t="array" ref="J438">_xlfn.IFS(I438=0, "Settled", I438&lt;=30, "1-30", I438&lt;=90, "31-90", I438&lt;=365, "91-365", I438&gt;365, "1 Year+")</f>
        <v>1 Year+</v>
      </c>
      <c r="K438" t="s">
        <v>819</v>
      </c>
      <c r="L438" s="3" cm="1">
        <f t="array" ref="L438">_xlfn.IFS(F438="AUD",E438*$V$2,F438="CAD",E438*$V$3,F438="EUR",E438*$V$4,F438="GBP",E438*$V$5,F438="USD",E438*$V$6)</f>
        <v>3762.9095000000002</v>
      </c>
      <c r="M438" s="3" cm="1">
        <f t="array" ref="M438">_xlfn.IFS(G438="Paid", L438, G438="Partial", L438*0.5, G438="Open", 0)</f>
        <v>0</v>
      </c>
      <c r="N438" s="3" cm="1">
        <f t="array" ref="N438">_xlfn.IFS(G438="Open", L438, G438="Partial", L438*0.5, G438="Paid", 0)</f>
        <v>3762.9095000000002</v>
      </c>
    </row>
    <row r="439" spans="1:14" x14ac:dyDescent="0.25">
      <c r="A439" t="s">
        <v>443</v>
      </c>
      <c r="B439" t="s">
        <v>809</v>
      </c>
      <c r="C439" s="5">
        <v>45210</v>
      </c>
      <c r="D439" s="5">
        <v>45240</v>
      </c>
      <c r="E439" s="3">
        <v>4967.66</v>
      </c>
      <c r="F439" t="s">
        <v>814</v>
      </c>
      <c r="G439" t="s">
        <v>818</v>
      </c>
      <c r="H439" s="5">
        <v>45240</v>
      </c>
      <c r="I439" s="7">
        <f t="shared" si="6"/>
        <v>0</v>
      </c>
      <c r="J439" s="13" t="str" cm="1">
        <f t="array" ref="J439">_xlfn.IFS(I439=0, "Settled", I439&lt;=30, "1-30", I439&lt;=90, "31-90", I439&lt;=365, "91-365", I439&gt;365, "1 Year+")</f>
        <v>Settled</v>
      </c>
      <c r="K439" t="s">
        <v>819</v>
      </c>
      <c r="L439" s="3" cm="1">
        <f t="array" ref="L439">_xlfn.IFS(F439="AUD",E439*$V$2,F439="CAD",E439*$V$3,F439="EUR",E439*$V$4,F439="GBP",E439*$V$5,F439="USD",E439*$V$6)</f>
        <v>4967.66</v>
      </c>
      <c r="M439" s="3" cm="1">
        <f t="array" ref="M439">_xlfn.IFS(G439="Paid", L439, G439="Partial", L439*0.5, G439="Open", 0)</f>
        <v>4967.66</v>
      </c>
      <c r="N439" s="3" cm="1">
        <f t="array" ref="N439">_xlfn.IFS(G439="Open", L439, G439="Partial", L439*0.5, G439="Paid", 0)</f>
        <v>0</v>
      </c>
    </row>
    <row r="440" spans="1:14" x14ac:dyDescent="0.25">
      <c r="A440" t="s">
        <v>444</v>
      </c>
      <c r="B440" t="s">
        <v>806</v>
      </c>
      <c r="C440" s="5">
        <v>45361</v>
      </c>
      <c r="D440" s="5">
        <v>45391</v>
      </c>
      <c r="E440" s="3">
        <v>523.04999999999995</v>
      </c>
      <c r="F440" t="s">
        <v>811</v>
      </c>
      <c r="G440" t="s">
        <v>816</v>
      </c>
      <c r="H440" s="5" t="s">
        <v>825</v>
      </c>
      <c r="I440" s="7">
        <f t="shared" si="6"/>
        <v>715</v>
      </c>
      <c r="J440" s="13" t="str" cm="1">
        <f t="array" ref="J440">_xlfn.IFS(I440=0, "Settled", I440&lt;=30, "1-30", I440&lt;=90, "31-90", I440&lt;=365, "91-365", I440&gt;365, "1 Year+")</f>
        <v>1 Year+</v>
      </c>
      <c r="K440" t="s">
        <v>819</v>
      </c>
      <c r="L440" s="3" cm="1">
        <f t="array" ref="L440">_xlfn.IFS(F440="AUD",E440*$V$2,F440="CAD",E440*$V$3,F440="EUR",E440*$V$4,F440="GBP",E440*$V$5,F440="USD",E440*$V$6)</f>
        <v>449.82299999999998</v>
      </c>
      <c r="M440" s="3" cm="1">
        <f t="array" ref="M440">_xlfn.IFS(G440="Paid", L440, G440="Partial", L440*0.5, G440="Open", 0)</f>
        <v>0</v>
      </c>
      <c r="N440" s="3" cm="1">
        <f t="array" ref="N440">_xlfn.IFS(G440="Open", L440, G440="Partial", L440*0.5, G440="Paid", 0)</f>
        <v>449.82299999999998</v>
      </c>
    </row>
    <row r="441" spans="1:14" x14ac:dyDescent="0.25">
      <c r="A441" t="s">
        <v>445</v>
      </c>
      <c r="B441" t="s">
        <v>808</v>
      </c>
      <c r="C441" s="5">
        <v>45075</v>
      </c>
      <c r="D441" s="5">
        <v>45105</v>
      </c>
      <c r="E441" s="3">
        <v>3485.01</v>
      </c>
      <c r="F441" t="s">
        <v>811</v>
      </c>
      <c r="G441" t="s">
        <v>818</v>
      </c>
      <c r="H441" s="5">
        <v>45105</v>
      </c>
      <c r="I441" s="7">
        <f t="shared" si="6"/>
        <v>0</v>
      </c>
      <c r="J441" s="13" t="str" cm="1">
        <f t="array" ref="J441">_xlfn.IFS(I441=0, "Settled", I441&lt;=30, "1-30", I441&lt;=90, "31-90", I441&lt;=365, "91-365", I441&gt;365, "1 Year+")</f>
        <v>Settled</v>
      </c>
      <c r="K441" t="s">
        <v>819</v>
      </c>
      <c r="L441" s="3" cm="1">
        <f t="array" ref="L441">_xlfn.IFS(F441="AUD",E441*$V$2,F441="CAD",E441*$V$3,F441="EUR",E441*$V$4,F441="GBP",E441*$V$5,F441="USD",E441*$V$6)</f>
        <v>2997.1086</v>
      </c>
      <c r="M441" s="3" cm="1">
        <f t="array" ref="M441">_xlfn.IFS(G441="Paid", L441, G441="Partial", L441*0.5, G441="Open", 0)</f>
        <v>2997.1086</v>
      </c>
      <c r="N441" s="3" cm="1">
        <f t="array" ref="N441">_xlfn.IFS(G441="Open", L441, G441="Partial", L441*0.5, G441="Paid", 0)</f>
        <v>0</v>
      </c>
    </row>
    <row r="442" spans="1:14" x14ac:dyDescent="0.25">
      <c r="A442" t="s">
        <v>446</v>
      </c>
      <c r="B442" t="s">
        <v>807</v>
      </c>
      <c r="C442" s="5">
        <v>44961</v>
      </c>
      <c r="D442" s="5">
        <v>44991</v>
      </c>
      <c r="E442" s="3">
        <v>2251.04</v>
      </c>
      <c r="F442" t="s">
        <v>811</v>
      </c>
      <c r="G442" t="s">
        <v>818</v>
      </c>
      <c r="H442" s="5">
        <v>44991</v>
      </c>
      <c r="I442" s="7">
        <f t="shared" si="6"/>
        <v>0</v>
      </c>
      <c r="J442" s="13" t="str" cm="1">
        <f t="array" ref="J442">_xlfn.IFS(I442=0, "Settled", I442&lt;=30, "1-30", I442&lt;=90, "31-90", I442&lt;=365, "91-365", I442&gt;365, "1 Year+")</f>
        <v>Settled</v>
      </c>
      <c r="K442" t="s">
        <v>819</v>
      </c>
      <c r="L442" s="3" cm="1">
        <f t="array" ref="L442">_xlfn.IFS(F442="AUD",E442*$V$2,F442="CAD",E442*$V$3,F442="EUR",E442*$V$4,F442="GBP",E442*$V$5,F442="USD",E442*$V$6)</f>
        <v>1935.8943999999999</v>
      </c>
      <c r="M442" s="3" cm="1">
        <f t="array" ref="M442">_xlfn.IFS(G442="Paid", L442, G442="Partial", L442*0.5, G442="Open", 0)</f>
        <v>1935.8943999999999</v>
      </c>
      <c r="N442" s="3" cm="1">
        <f t="array" ref="N442">_xlfn.IFS(G442="Open", L442, G442="Partial", L442*0.5, G442="Paid", 0)</f>
        <v>0</v>
      </c>
    </row>
    <row r="443" spans="1:14" x14ac:dyDescent="0.25">
      <c r="A443" t="s">
        <v>447</v>
      </c>
      <c r="B443" t="s">
        <v>810</v>
      </c>
      <c r="C443" s="5">
        <v>45210</v>
      </c>
      <c r="D443" s="5">
        <v>45240</v>
      </c>
      <c r="E443" s="3">
        <v>3521.51</v>
      </c>
      <c r="F443" t="s">
        <v>813</v>
      </c>
      <c r="G443" t="s">
        <v>818</v>
      </c>
      <c r="H443" s="5">
        <v>45240</v>
      </c>
      <c r="I443" s="7">
        <f t="shared" si="6"/>
        <v>0</v>
      </c>
      <c r="J443" s="13" t="str" cm="1">
        <f t="array" ref="J443">_xlfn.IFS(I443=0, "Settled", I443&lt;=30, "1-30", I443&lt;=90, "31-90", I443&lt;=365, "91-365", I443&gt;365, "1 Year+")</f>
        <v>Settled</v>
      </c>
      <c r="K443" t="s">
        <v>819</v>
      </c>
      <c r="L443" s="3" cm="1">
        <f t="array" ref="L443">_xlfn.IFS(F443="AUD",E443*$V$2,F443="CAD",E443*$V$3,F443="EUR",E443*$V$4,F443="GBP",E443*$V$5,F443="USD",E443*$V$6)</f>
        <v>2641.1325000000002</v>
      </c>
      <c r="M443" s="3" cm="1">
        <f t="array" ref="M443">_xlfn.IFS(G443="Paid", L443, G443="Partial", L443*0.5, G443="Open", 0)</f>
        <v>2641.1325000000002</v>
      </c>
      <c r="N443" s="3" cm="1">
        <f t="array" ref="N443">_xlfn.IFS(G443="Open", L443, G443="Partial", L443*0.5, G443="Paid", 0)</f>
        <v>0</v>
      </c>
    </row>
    <row r="444" spans="1:14" x14ac:dyDescent="0.25">
      <c r="A444" t="s">
        <v>448</v>
      </c>
      <c r="B444" t="s">
        <v>807</v>
      </c>
      <c r="C444" s="5">
        <v>45756</v>
      </c>
      <c r="D444" s="5">
        <v>45786</v>
      </c>
      <c r="E444" s="3">
        <v>3808.69</v>
      </c>
      <c r="F444" t="s">
        <v>812</v>
      </c>
      <c r="G444" t="s">
        <v>816</v>
      </c>
      <c r="H444" s="5" t="s">
        <v>825</v>
      </c>
      <c r="I444" s="7">
        <f t="shared" si="6"/>
        <v>320</v>
      </c>
      <c r="J444" s="13" t="str" cm="1">
        <f t="array" ref="J444">_xlfn.IFS(I444=0, "Settled", I444&lt;=30, "1-30", I444&lt;=90, "31-90", I444&lt;=365, "91-365", I444&gt;365, "1 Year+")</f>
        <v>91-365</v>
      </c>
      <c r="K444" t="s">
        <v>819</v>
      </c>
      <c r="L444" s="3" cm="1">
        <f t="array" ref="L444">_xlfn.IFS(F444="AUD",E444*$V$2,F444="CAD",E444*$V$3,F444="EUR",E444*$V$4,F444="GBP",E444*$V$5,F444="USD",E444*$V$6)</f>
        <v>5255.9921999999997</v>
      </c>
      <c r="M444" s="3" cm="1">
        <f t="array" ref="M444">_xlfn.IFS(G444="Paid", L444, G444="Partial", L444*0.5, G444="Open", 0)</f>
        <v>0</v>
      </c>
      <c r="N444" s="3" cm="1">
        <f t="array" ref="N444">_xlfn.IFS(G444="Open", L444, G444="Partial", L444*0.5, G444="Paid", 0)</f>
        <v>5255.9921999999997</v>
      </c>
    </row>
    <row r="445" spans="1:14" x14ac:dyDescent="0.25">
      <c r="A445" t="s">
        <v>449</v>
      </c>
      <c r="B445" t="s">
        <v>808</v>
      </c>
      <c r="C445" s="5">
        <v>45063</v>
      </c>
      <c r="D445" s="5">
        <v>45093</v>
      </c>
      <c r="E445" s="3">
        <v>3920.07</v>
      </c>
      <c r="F445" t="s">
        <v>815</v>
      </c>
      <c r="G445" t="s">
        <v>818</v>
      </c>
      <c r="H445" s="5">
        <v>45093</v>
      </c>
      <c r="I445" s="7">
        <f t="shared" si="6"/>
        <v>0</v>
      </c>
      <c r="J445" s="13" t="str" cm="1">
        <f t="array" ref="J445">_xlfn.IFS(I445=0, "Settled", I445&lt;=30, "1-30", I445&lt;=90, "31-90", I445&lt;=365, "91-365", I445&gt;365, "1 Year+")</f>
        <v>Settled</v>
      </c>
      <c r="K445" t="s">
        <v>819</v>
      </c>
      <c r="L445" s="3" cm="1">
        <f t="array" ref="L445">_xlfn.IFS(F445="AUD",E445*$V$2,F445="CAD",E445*$V$3,F445="EUR",E445*$V$4,F445="GBP",E445*$V$5,F445="USD",E445*$V$6)</f>
        <v>5684.1014999999998</v>
      </c>
      <c r="M445" s="3" cm="1">
        <f t="array" ref="M445">_xlfn.IFS(G445="Paid", L445, G445="Partial", L445*0.5, G445="Open", 0)</f>
        <v>5684.1014999999998</v>
      </c>
      <c r="N445" s="3" cm="1">
        <f t="array" ref="N445">_xlfn.IFS(G445="Open", L445, G445="Partial", L445*0.5, G445="Paid", 0)</f>
        <v>0</v>
      </c>
    </row>
    <row r="446" spans="1:14" x14ac:dyDescent="0.25">
      <c r="A446" t="s">
        <v>450</v>
      </c>
      <c r="B446" t="s">
        <v>808</v>
      </c>
      <c r="C446" s="5">
        <v>45007</v>
      </c>
      <c r="D446" s="5">
        <v>45037</v>
      </c>
      <c r="E446" s="3">
        <v>4941.76</v>
      </c>
      <c r="F446" t="s">
        <v>813</v>
      </c>
      <c r="G446" t="s">
        <v>817</v>
      </c>
      <c r="H446" s="5" t="s">
        <v>825</v>
      </c>
      <c r="I446" s="7">
        <f t="shared" si="6"/>
        <v>1069</v>
      </c>
      <c r="J446" s="13" t="str" cm="1">
        <f t="array" ref="J446">_xlfn.IFS(I446=0, "Settled", I446&lt;=30, "1-30", I446&lt;=90, "31-90", I446&lt;=365, "91-365", I446&gt;365, "1 Year+")</f>
        <v>1 Year+</v>
      </c>
      <c r="K446" t="s">
        <v>819</v>
      </c>
      <c r="L446" s="3" cm="1">
        <f t="array" ref="L446">_xlfn.IFS(F446="AUD",E446*$V$2,F446="CAD",E446*$V$3,F446="EUR",E446*$V$4,F446="GBP",E446*$V$5,F446="USD",E446*$V$6)</f>
        <v>3706.32</v>
      </c>
      <c r="M446" s="3" cm="1">
        <f t="array" ref="M446">_xlfn.IFS(G446="Paid", L446, G446="Partial", L446*0.5, G446="Open", 0)</f>
        <v>1853.16</v>
      </c>
      <c r="N446" s="3" cm="1">
        <f t="array" ref="N446">_xlfn.IFS(G446="Open", L446, G446="Partial", L446*0.5, G446="Paid", 0)</f>
        <v>1853.16</v>
      </c>
    </row>
    <row r="447" spans="1:14" x14ac:dyDescent="0.25">
      <c r="A447" t="s">
        <v>451</v>
      </c>
      <c r="B447" t="s">
        <v>808</v>
      </c>
      <c r="C447" s="5">
        <v>45234</v>
      </c>
      <c r="D447" s="5">
        <v>45264</v>
      </c>
      <c r="E447" s="3">
        <v>1079.6099999999999</v>
      </c>
      <c r="F447" t="s">
        <v>814</v>
      </c>
      <c r="G447" t="s">
        <v>816</v>
      </c>
      <c r="H447" s="5" t="s">
        <v>825</v>
      </c>
      <c r="I447" s="7">
        <f t="shared" si="6"/>
        <v>842</v>
      </c>
      <c r="J447" s="13" t="str" cm="1">
        <f t="array" ref="J447">_xlfn.IFS(I447=0, "Settled", I447&lt;=30, "1-30", I447&lt;=90, "31-90", I447&lt;=365, "91-365", I447&gt;365, "1 Year+")</f>
        <v>1 Year+</v>
      </c>
      <c r="K447" t="s">
        <v>819</v>
      </c>
      <c r="L447" s="3" cm="1">
        <f t="array" ref="L447">_xlfn.IFS(F447="AUD",E447*$V$2,F447="CAD",E447*$V$3,F447="EUR",E447*$V$4,F447="GBP",E447*$V$5,F447="USD",E447*$V$6)</f>
        <v>1079.6099999999999</v>
      </c>
      <c r="M447" s="3" cm="1">
        <f t="array" ref="M447">_xlfn.IFS(G447="Paid", L447, G447="Partial", L447*0.5, G447="Open", 0)</f>
        <v>0</v>
      </c>
      <c r="N447" s="3" cm="1">
        <f t="array" ref="N447">_xlfn.IFS(G447="Open", L447, G447="Partial", L447*0.5, G447="Paid", 0)</f>
        <v>1079.6099999999999</v>
      </c>
    </row>
    <row r="448" spans="1:14" x14ac:dyDescent="0.25">
      <c r="A448" t="s">
        <v>452</v>
      </c>
      <c r="B448" t="s">
        <v>808</v>
      </c>
      <c r="C448" s="5">
        <v>45072</v>
      </c>
      <c r="D448" s="5">
        <v>45102</v>
      </c>
      <c r="E448" s="3">
        <v>4688.33</v>
      </c>
      <c r="F448" t="s">
        <v>815</v>
      </c>
      <c r="G448" t="s">
        <v>818</v>
      </c>
      <c r="H448" s="5">
        <v>45102</v>
      </c>
      <c r="I448" s="7">
        <f t="shared" si="6"/>
        <v>0</v>
      </c>
      <c r="J448" s="13" t="str" cm="1">
        <f t="array" ref="J448">_xlfn.IFS(I448=0, "Settled", I448&lt;=30, "1-30", I448&lt;=90, "31-90", I448&lt;=365, "91-365", I448&gt;365, "1 Year+")</f>
        <v>Settled</v>
      </c>
      <c r="K448" t="s">
        <v>819</v>
      </c>
      <c r="L448" s="3" cm="1">
        <f t="array" ref="L448">_xlfn.IFS(F448="AUD",E448*$V$2,F448="CAD",E448*$V$3,F448="EUR",E448*$V$4,F448="GBP",E448*$V$5,F448="USD",E448*$V$6)</f>
        <v>6798.0784999999996</v>
      </c>
      <c r="M448" s="3" cm="1">
        <f t="array" ref="M448">_xlfn.IFS(G448="Paid", L448, G448="Partial", L448*0.5, G448="Open", 0)</f>
        <v>6798.0784999999996</v>
      </c>
      <c r="N448" s="3" cm="1">
        <f t="array" ref="N448">_xlfn.IFS(G448="Open", L448, G448="Partial", L448*0.5, G448="Paid", 0)</f>
        <v>0</v>
      </c>
    </row>
    <row r="449" spans="1:14" x14ac:dyDescent="0.25">
      <c r="A449" t="s">
        <v>453</v>
      </c>
      <c r="B449" t="s">
        <v>808</v>
      </c>
      <c r="C449" s="5">
        <v>45264</v>
      </c>
      <c r="D449" s="5">
        <v>45294</v>
      </c>
      <c r="E449" s="3">
        <v>705.05</v>
      </c>
      <c r="F449" t="s">
        <v>814</v>
      </c>
      <c r="G449" t="s">
        <v>817</v>
      </c>
      <c r="H449" s="5" t="s">
        <v>825</v>
      </c>
      <c r="I449" s="7">
        <f t="shared" si="6"/>
        <v>812</v>
      </c>
      <c r="J449" s="13" t="str" cm="1">
        <f t="array" ref="J449">_xlfn.IFS(I449=0, "Settled", I449&lt;=30, "1-30", I449&lt;=90, "31-90", I449&lt;=365, "91-365", I449&gt;365, "1 Year+")</f>
        <v>1 Year+</v>
      </c>
      <c r="K449" t="s">
        <v>819</v>
      </c>
      <c r="L449" s="3" cm="1">
        <f t="array" ref="L449">_xlfn.IFS(F449="AUD",E449*$V$2,F449="CAD",E449*$V$3,F449="EUR",E449*$V$4,F449="GBP",E449*$V$5,F449="USD",E449*$V$6)</f>
        <v>705.05</v>
      </c>
      <c r="M449" s="3" cm="1">
        <f t="array" ref="M449">_xlfn.IFS(G449="Paid", L449, G449="Partial", L449*0.5, G449="Open", 0)</f>
        <v>352.52499999999998</v>
      </c>
      <c r="N449" s="3" cm="1">
        <f t="array" ref="N449">_xlfn.IFS(G449="Open", L449, G449="Partial", L449*0.5, G449="Paid", 0)</f>
        <v>352.52499999999998</v>
      </c>
    </row>
    <row r="450" spans="1:14" x14ac:dyDescent="0.25">
      <c r="A450" t="s">
        <v>454</v>
      </c>
      <c r="B450" t="s">
        <v>809</v>
      </c>
      <c r="C450" s="5">
        <v>45068</v>
      </c>
      <c r="D450" s="5">
        <v>45098</v>
      </c>
      <c r="E450" s="3">
        <v>1193.94</v>
      </c>
      <c r="F450" t="s">
        <v>812</v>
      </c>
      <c r="G450" t="s">
        <v>816</v>
      </c>
      <c r="H450" s="5" t="s">
        <v>825</v>
      </c>
      <c r="I450" s="7">
        <f t="shared" si="6"/>
        <v>1008</v>
      </c>
      <c r="J450" s="13" t="str" cm="1">
        <f t="array" ref="J450">_xlfn.IFS(I450=0, "Settled", I450&lt;=30, "1-30", I450&lt;=90, "31-90", I450&lt;=365, "91-365", I450&gt;365, "1 Year+")</f>
        <v>1 Year+</v>
      </c>
      <c r="K450" t="s">
        <v>819</v>
      </c>
      <c r="L450" s="3" cm="1">
        <f t="array" ref="L450">_xlfn.IFS(F450="AUD",E450*$V$2,F450="CAD",E450*$V$3,F450="EUR",E450*$V$4,F450="GBP",E450*$V$5,F450="USD",E450*$V$6)</f>
        <v>1647.6371999999999</v>
      </c>
      <c r="M450" s="3" cm="1">
        <f t="array" ref="M450">_xlfn.IFS(G450="Paid", L450, G450="Partial", L450*0.5, G450="Open", 0)</f>
        <v>0</v>
      </c>
      <c r="N450" s="3" cm="1">
        <f t="array" ref="N450">_xlfn.IFS(G450="Open", L450, G450="Partial", L450*0.5, G450="Paid", 0)</f>
        <v>1647.6371999999999</v>
      </c>
    </row>
    <row r="451" spans="1:14" x14ac:dyDescent="0.25">
      <c r="A451" t="s">
        <v>455</v>
      </c>
      <c r="B451" t="s">
        <v>809</v>
      </c>
      <c r="C451" s="5">
        <v>45571</v>
      </c>
      <c r="D451" s="5">
        <v>45601</v>
      </c>
      <c r="E451" s="3">
        <v>232.29</v>
      </c>
      <c r="F451" t="s">
        <v>814</v>
      </c>
      <c r="G451" t="s">
        <v>818</v>
      </c>
      <c r="H451" s="5">
        <v>45601</v>
      </c>
      <c r="I451" s="7">
        <f t="shared" ref="I451:I514" si="7">IF(G451="Paid",0,DATE(2026,3,25)-D451)</f>
        <v>0</v>
      </c>
      <c r="J451" s="13" t="str" cm="1">
        <f t="array" ref="J451">_xlfn.IFS(I451=0, "Settled", I451&lt;=30, "1-30", I451&lt;=90, "31-90", I451&lt;=365, "91-365", I451&gt;365, "1 Year+")</f>
        <v>Settled</v>
      </c>
      <c r="K451" t="s">
        <v>819</v>
      </c>
      <c r="L451" s="3" cm="1">
        <f t="array" ref="L451">_xlfn.IFS(F451="AUD",E451*$V$2,F451="CAD",E451*$V$3,F451="EUR",E451*$V$4,F451="GBP",E451*$V$5,F451="USD",E451*$V$6)</f>
        <v>232.29</v>
      </c>
      <c r="M451" s="3" cm="1">
        <f t="array" ref="M451">_xlfn.IFS(G451="Paid", L451, G451="Partial", L451*0.5, G451="Open", 0)</f>
        <v>232.29</v>
      </c>
      <c r="N451" s="3" cm="1">
        <f t="array" ref="N451">_xlfn.IFS(G451="Open", L451, G451="Partial", L451*0.5, G451="Paid", 0)</f>
        <v>0</v>
      </c>
    </row>
    <row r="452" spans="1:14" x14ac:dyDescent="0.25">
      <c r="A452" t="s">
        <v>456</v>
      </c>
      <c r="B452" t="s">
        <v>807</v>
      </c>
      <c r="C452" s="5">
        <v>45317</v>
      </c>
      <c r="D452" s="5">
        <v>45347</v>
      </c>
      <c r="E452" s="3">
        <v>4202.26</v>
      </c>
      <c r="F452" t="s">
        <v>811</v>
      </c>
      <c r="G452" t="s">
        <v>817</v>
      </c>
      <c r="H452" s="5" t="s">
        <v>825</v>
      </c>
      <c r="I452" s="7">
        <f t="shared" si="7"/>
        <v>759</v>
      </c>
      <c r="J452" s="13" t="str" cm="1">
        <f t="array" ref="J452">_xlfn.IFS(I452=0, "Settled", I452&lt;=30, "1-30", I452&lt;=90, "31-90", I452&lt;=365, "91-365", I452&gt;365, "1 Year+")</f>
        <v>1 Year+</v>
      </c>
      <c r="K452" t="s">
        <v>819</v>
      </c>
      <c r="L452" s="3" cm="1">
        <f t="array" ref="L452">_xlfn.IFS(F452="AUD",E452*$V$2,F452="CAD",E452*$V$3,F452="EUR",E452*$V$4,F452="GBP",E452*$V$5,F452="USD",E452*$V$6)</f>
        <v>3613.9436000000001</v>
      </c>
      <c r="M452" s="3" cm="1">
        <f t="array" ref="M452">_xlfn.IFS(G452="Paid", L452, G452="Partial", L452*0.5, G452="Open", 0)</f>
        <v>1806.9718</v>
      </c>
      <c r="N452" s="3" cm="1">
        <f t="array" ref="N452">_xlfn.IFS(G452="Open", L452, G452="Partial", L452*0.5, G452="Paid", 0)</f>
        <v>1806.9718</v>
      </c>
    </row>
    <row r="453" spans="1:14" x14ac:dyDescent="0.25">
      <c r="A453" t="s">
        <v>457</v>
      </c>
      <c r="B453" t="s">
        <v>810</v>
      </c>
      <c r="C453" s="5">
        <v>45315</v>
      </c>
      <c r="D453" s="5">
        <v>45345</v>
      </c>
      <c r="E453" s="3">
        <v>3696.33</v>
      </c>
      <c r="F453" t="s">
        <v>815</v>
      </c>
      <c r="G453" t="s">
        <v>818</v>
      </c>
      <c r="H453" s="5">
        <v>45345</v>
      </c>
      <c r="I453" s="7">
        <f t="shared" si="7"/>
        <v>0</v>
      </c>
      <c r="J453" s="13" t="str" cm="1">
        <f t="array" ref="J453">_xlfn.IFS(I453=0, "Settled", I453&lt;=30, "1-30", I453&lt;=90, "31-90", I453&lt;=365, "91-365", I453&gt;365, "1 Year+")</f>
        <v>Settled</v>
      </c>
      <c r="K453" t="s">
        <v>819</v>
      </c>
      <c r="L453" s="3" cm="1">
        <f t="array" ref="L453">_xlfn.IFS(F453="AUD",E453*$V$2,F453="CAD",E453*$V$3,F453="EUR",E453*$V$4,F453="GBP",E453*$V$5,F453="USD",E453*$V$6)</f>
        <v>5359.6785</v>
      </c>
      <c r="M453" s="3" cm="1">
        <f t="array" ref="M453">_xlfn.IFS(G453="Paid", L453, G453="Partial", L453*0.5, G453="Open", 0)</f>
        <v>5359.6785</v>
      </c>
      <c r="N453" s="3" cm="1">
        <f t="array" ref="N453">_xlfn.IFS(G453="Open", L453, G453="Partial", L453*0.5, G453="Paid", 0)</f>
        <v>0</v>
      </c>
    </row>
    <row r="454" spans="1:14" x14ac:dyDescent="0.25">
      <c r="A454" t="s">
        <v>458</v>
      </c>
      <c r="B454" t="s">
        <v>809</v>
      </c>
      <c r="C454" s="5">
        <v>45319</v>
      </c>
      <c r="D454" s="5">
        <v>45349</v>
      </c>
      <c r="E454" s="3">
        <v>3133.53</v>
      </c>
      <c r="F454" t="s">
        <v>814</v>
      </c>
      <c r="G454" t="s">
        <v>818</v>
      </c>
      <c r="H454" s="5">
        <v>45349</v>
      </c>
      <c r="I454" s="7">
        <f t="shared" si="7"/>
        <v>0</v>
      </c>
      <c r="J454" s="13" t="str" cm="1">
        <f t="array" ref="J454">_xlfn.IFS(I454=0, "Settled", I454&lt;=30, "1-30", I454&lt;=90, "31-90", I454&lt;=365, "91-365", I454&gt;365, "1 Year+")</f>
        <v>Settled</v>
      </c>
      <c r="K454" t="s">
        <v>819</v>
      </c>
      <c r="L454" s="3" cm="1">
        <f t="array" ref="L454">_xlfn.IFS(F454="AUD",E454*$V$2,F454="CAD",E454*$V$3,F454="EUR",E454*$V$4,F454="GBP",E454*$V$5,F454="USD",E454*$V$6)</f>
        <v>3133.53</v>
      </c>
      <c r="M454" s="3" cm="1">
        <f t="array" ref="M454">_xlfn.IFS(G454="Paid", L454, G454="Partial", L454*0.5, G454="Open", 0)</f>
        <v>3133.53</v>
      </c>
      <c r="N454" s="3" cm="1">
        <f t="array" ref="N454">_xlfn.IFS(G454="Open", L454, G454="Partial", L454*0.5, G454="Paid", 0)</f>
        <v>0</v>
      </c>
    </row>
    <row r="455" spans="1:14" x14ac:dyDescent="0.25">
      <c r="A455" t="s">
        <v>459</v>
      </c>
      <c r="B455" t="s">
        <v>806</v>
      </c>
      <c r="C455" s="5">
        <v>45460</v>
      </c>
      <c r="D455" s="5">
        <v>45490</v>
      </c>
      <c r="E455" s="3">
        <v>2405.39</v>
      </c>
      <c r="F455" t="s">
        <v>814</v>
      </c>
      <c r="G455" t="s">
        <v>818</v>
      </c>
      <c r="H455" s="5">
        <v>45490</v>
      </c>
      <c r="I455" s="7">
        <f t="shared" si="7"/>
        <v>0</v>
      </c>
      <c r="J455" s="13" t="str" cm="1">
        <f t="array" ref="J455">_xlfn.IFS(I455=0, "Settled", I455&lt;=30, "1-30", I455&lt;=90, "31-90", I455&lt;=365, "91-365", I455&gt;365, "1 Year+")</f>
        <v>Settled</v>
      </c>
      <c r="K455" t="s">
        <v>819</v>
      </c>
      <c r="L455" s="3" cm="1">
        <f t="array" ref="L455">_xlfn.IFS(F455="AUD",E455*$V$2,F455="CAD",E455*$V$3,F455="EUR",E455*$V$4,F455="GBP",E455*$V$5,F455="USD",E455*$V$6)</f>
        <v>2405.39</v>
      </c>
      <c r="M455" s="3" cm="1">
        <f t="array" ref="M455">_xlfn.IFS(G455="Paid", L455, G455="Partial", L455*0.5, G455="Open", 0)</f>
        <v>2405.39</v>
      </c>
      <c r="N455" s="3" cm="1">
        <f t="array" ref="N455">_xlfn.IFS(G455="Open", L455, G455="Partial", L455*0.5, G455="Paid", 0)</f>
        <v>0</v>
      </c>
    </row>
    <row r="456" spans="1:14" x14ac:dyDescent="0.25">
      <c r="A456" t="s">
        <v>460</v>
      </c>
      <c r="B456" t="s">
        <v>809</v>
      </c>
      <c r="C456" s="5">
        <v>45302</v>
      </c>
      <c r="D456" s="5">
        <v>45332</v>
      </c>
      <c r="E456" s="3">
        <v>1074.8499999999999</v>
      </c>
      <c r="F456" t="s">
        <v>814</v>
      </c>
      <c r="G456" t="s">
        <v>817</v>
      </c>
      <c r="H456" s="5" t="s">
        <v>825</v>
      </c>
      <c r="I456" s="7">
        <f t="shared" si="7"/>
        <v>774</v>
      </c>
      <c r="J456" s="13" t="str" cm="1">
        <f t="array" ref="J456">_xlfn.IFS(I456=0, "Settled", I456&lt;=30, "1-30", I456&lt;=90, "31-90", I456&lt;=365, "91-365", I456&gt;365, "1 Year+")</f>
        <v>1 Year+</v>
      </c>
      <c r="K456" t="s">
        <v>819</v>
      </c>
      <c r="L456" s="3" cm="1">
        <f t="array" ref="L456">_xlfn.IFS(F456="AUD",E456*$V$2,F456="CAD",E456*$V$3,F456="EUR",E456*$V$4,F456="GBP",E456*$V$5,F456="USD",E456*$V$6)</f>
        <v>1074.8499999999999</v>
      </c>
      <c r="M456" s="3" cm="1">
        <f t="array" ref="M456">_xlfn.IFS(G456="Paid", L456, G456="Partial", L456*0.5, G456="Open", 0)</f>
        <v>537.42499999999995</v>
      </c>
      <c r="N456" s="3" cm="1">
        <f t="array" ref="N456">_xlfn.IFS(G456="Open", L456, G456="Partial", L456*0.5, G456="Paid", 0)</f>
        <v>537.42499999999995</v>
      </c>
    </row>
    <row r="457" spans="1:14" x14ac:dyDescent="0.25">
      <c r="A457" t="s">
        <v>461</v>
      </c>
      <c r="B457" t="s">
        <v>808</v>
      </c>
      <c r="C457" s="5">
        <v>45648</v>
      </c>
      <c r="D457" s="5">
        <v>45678</v>
      </c>
      <c r="E457" s="3">
        <v>3359</v>
      </c>
      <c r="F457" t="s">
        <v>813</v>
      </c>
      <c r="G457" t="s">
        <v>816</v>
      </c>
      <c r="H457" s="5" t="s">
        <v>825</v>
      </c>
      <c r="I457" s="7">
        <f t="shared" si="7"/>
        <v>428</v>
      </c>
      <c r="J457" s="13" t="str" cm="1">
        <f t="array" ref="J457">_xlfn.IFS(I457=0, "Settled", I457&lt;=30, "1-30", I457&lt;=90, "31-90", I457&lt;=365, "91-365", I457&gt;365, "1 Year+")</f>
        <v>1 Year+</v>
      </c>
      <c r="K457" t="s">
        <v>819</v>
      </c>
      <c r="L457" s="3" cm="1">
        <f t="array" ref="L457">_xlfn.IFS(F457="AUD",E457*$V$2,F457="CAD",E457*$V$3,F457="EUR",E457*$V$4,F457="GBP",E457*$V$5,F457="USD",E457*$V$6)</f>
        <v>2519.25</v>
      </c>
      <c r="M457" s="3" cm="1">
        <f t="array" ref="M457">_xlfn.IFS(G457="Paid", L457, G457="Partial", L457*0.5, G457="Open", 0)</f>
        <v>0</v>
      </c>
      <c r="N457" s="3" cm="1">
        <f t="array" ref="N457">_xlfn.IFS(G457="Open", L457, G457="Partial", L457*0.5, G457="Paid", 0)</f>
        <v>2519.25</v>
      </c>
    </row>
    <row r="458" spans="1:14" x14ac:dyDescent="0.25">
      <c r="A458" t="s">
        <v>462</v>
      </c>
      <c r="B458" t="s">
        <v>810</v>
      </c>
      <c r="C458" s="5">
        <v>45700</v>
      </c>
      <c r="D458" s="5">
        <v>45730</v>
      </c>
      <c r="E458" s="3">
        <v>419.58</v>
      </c>
      <c r="F458" t="s">
        <v>815</v>
      </c>
      <c r="G458" t="s">
        <v>818</v>
      </c>
      <c r="H458" s="5">
        <v>45730</v>
      </c>
      <c r="I458" s="7">
        <f t="shared" si="7"/>
        <v>0</v>
      </c>
      <c r="J458" s="13" t="str" cm="1">
        <f t="array" ref="J458">_xlfn.IFS(I458=0, "Settled", I458&lt;=30, "1-30", I458&lt;=90, "31-90", I458&lt;=365, "91-365", I458&gt;365, "1 Year+")</f>
        <v>Settled</v>
      </c>
      <c r="K458" t="s">
        <v>819</v>
      </c>
      <c r="L458" s="3" cm="1">
        <f t="array" ref="L458">_xlfn.IFS(F458="AUD",E458*$V$2,F458="CAD",E458*$V$3,F458="EUR",E458*$V$4,F458="GBP",E458*$V$5,F458="USD",E458*$V$6)</f>
        <v>608.39099999999996</v>
      </c>
      <c r="M458" s="3" cm="1">
        <f t="array" ref="M458">_xlfn.IFS(G458="Paid", L458, G458="Partial", L458*0.5, G458="Open", 0)</f>
        <v>608.39099999999996</v>
      </c>
      <c r="N458" s="3" cm="1">
        <f t="array" ref="N458">_xlfn.IFS(G458="Open", L458, G458="Partial", L458*0.5, G458="Paid", 0)</f>
        <v>0</v>
      </c>
    </row>
    <row r="459" spans="1:14" x14ac:dyDescent="0.25">
      <c r="A459" t="s">
        <v>463</v>
      </c>
      <c r="B459" t="s">
        <v>807</v>
      </c>
      <c r="C459" s="5">
        <v>45376</v>
      </c>
      <c r="D459" s="5">
        <v>45406</v>
      </c>
      <c r="E459" s="3">
        <v>1704.27</v>
      </c>
      <c r="F459" t="s">
        <v>812</v>
      </c>
      <c r="G459" t="s">
        <v>816</v>
      </c>
      <c r="H459" s="5" t="s">
        <v>825</v>
      </c>
      <c r="I459" s="7">
        <f t="shared" si="7"/>
        <v>700</v>
      </c>
      <c r="J459" s="13" t="str" cm="1">
        <f t="array" ref="J459">_xlfn.IFS(I459=0, "Settled", I459&lt;=30, "1-30", I459&lt;=90, "31-90", I459&lt;=365, "91-365", I459&gt;365, "1 Year+")</f>
        <v>1 Year+</v>
      </c>
      <c r="K459" t="s">
        <v>819</v>
      </c>
      <c r="L459" s="3" cm="1">
        <f t="array" ref="L459">_xlfn.IFS(F459="AUD",E459*$V$2,F459="CAD",E459*$V$3,F459="EUR",E459*$V$4,F459="GBP",E459*$V$5,F459="USD",E459*$V$6)</f>
        <v>2351.8925999999997</v>
      </c>
      <c r="M459" s="3" cm="1">
        <f t="array" ref="M459">_xlfn.IFS(G459="Paid", L459, G459="Partial", L459*0.5, G459="Open", 0)</f>
        <v>0</v>
      </c>
      <c r="N459" s="3" cm="1">
        <f t="array" ref="N459">_xlfn.IFS(G459="Open", L459, G459="Partial", L459*0.5, G459="Paid", 0)</f>
        <v>2351.8925999999997</v>
      </c>
    </row>
    <row r="460" spans="1:14" x14ac:dyDescent="0.25">
      <c r="A460" t="s">
        <v>464</v>
      </c>
      <c r="B460" t="s">
        <v>808</v>
      </c>
      <c r="C460" s="5">
        <v>45397</v>
      </c>
      <c r="D460" s="5">
        <v>45427</v>
      </c>
      <c r="E460" s="3">
        <v>1545.19</v>
      </c>
      <c r="F460" t="s">
        <v>813</v>
      </c>
      <c r="G460" t="s">
        <v>818</v>
      </c>
      <c r="H460" s="5">
        <v>45427</v>
      </c>
      <c r="I460" s="7">
        <f t="shared" si="7"/>
        <v>0</v>
      </c>
      <c r="J460" s="13" t="str" cm="1">
        <f t="array" ref="J460">_xlfn.IFS(I460=0, "Settled", I460&lt;=30, "1-30", I460&lt;=90, "31-90", I460&lt;=365, "91-365", I460&gt;365, "1 Year+")</f>
        <v>Settled</v>
      </c>
      <c r="K460" t="s">
        <v>819</v>
      </c>
      <c r="L460" s="3" cm="1">
        <f t="array" ref="L460">_xlfn.IFS(F460="AUD",E460*$V$2,F460="CAD",E460*$V$3,F460="EUR",E460*$V$4,F460="GBP",E460*$V$5,F460="USD",E460*$V$6)</f>
        <v>1158.8924999999999</v>
      </c>
      <c r="M460" s="3" cm="1">
        <f t="array" ref="M460">_xlfn.IFS(G460="Paid", L460, G460="Partial", L460*0.5, G460="Open", 0)</f>
        <v>1158.8924999999999</v>
      </c>
      <c r="N460" s="3" cm="1">
        <f t="array" ref="N460">_xlfn.IFS(G460="Open", L460, G460="Partial", L460*0.5, G460="Paid", 0)</f>
        <v>0</v>
      </c>
    </row>
    <row r="461" spans="1:14" x14ac:dyDescent="0.25">
      <c r="A461" t="s">
        <v>465</v>
      </c>
      <c r="B461" t="s">
        <v>808</v>
      </c>
      <c r="C461" s="5">
        <v>45198</v>
      </c>
      <c r="D461" s="5">
        <v>45228</v>
      </c>
      <c r="E461" s="3">
        <v>3414.41</v>
      </c>
      <c r="F461" t="s">
        <v>815</v>
      </c>
      <c r="G461" t="s">
        <v>817</v>
      </c>
      <c r="H461" s="5" t="s">
        <v>825</v>
      </c>
      <c r="I461" s="7">
        <f t="shared" si="7"/>
        <v>878</v>
      </c>
      <c r="J461" s="13" t="str" cm="1">
        <f t="array" ref="J461">_xlfn.IFS(I461=0, "Settled", I461&lt;=30, "1-30", I461&lt;=90, "31-90", I461&lt;=365, "91-365", I461&gt;365, "1 Year+")</f>
        <v>1 Year+</v>
      </c>
      <c r="K461" t="s">
        <v>819</v>
      </c>
      <c r="L461" s="3" cm="1">
        <f t="array" ref="L461">_xlfn.IFS(F461="AUD",E461*$V$2,F461="CAD",E461*$V$3,F461="EUR",E461*$V$4,F461="GBP",E461*$V$5,F461="USD",E461*$V$6)</f>
        <v>4950.8944999999994</v>
      </c>
      <c r="M461" s="3" cm="1">
        <f t="array" ref="M461">_xlfn.IFS(G461="Paid", L461, G461="Partial", L461*0.5, G461="Open", 0)</f>
        <v>2475.4472499999997</v>
      </c>
      <c r="N461" s="3" cm="1">
        <f t="array" ref="N461">_xlfn.IFS(G461="Open", L461, G461="Partial", L461*0.5, G461="Paid", 0)</f>
        <v>2475.4472499999997</v>
      </c>
    </row>
    <row r="462" spans="1:14" x14ac:dyDescent="0.25">
      <c r="A462" t="s">
        <v>466</v>
      </c>
      <c r="B462" t="s">
        <v>806</v>
      </c>
      <c r="C462" s="5">
        <v>45779</v>
      </c>
      <c r="D462" s="5">
        <v>45809</v>
      </c>
      <c r="E462" s="3">
        <v>3597.78</v>
      </c>
      <c r="F462" t="s">
        <v>814</v>
      </c>
      <c r="G462" t="s">
        <v>817</v>
      </c>
      <c r="H462" s="5" t="s">
        <v>825</v>
      </c>
      <c r="I462" s="7">
        <f t="shared" si="7"/>
        <v>297</v>
      </c>
      <c r="J462" s="13" t="str" cm="1">
        <f t="array" ref="J462">_xlfn.IFS(I462=0, "Settled", I462&lt;=30, "1-30", I462&lt;=90, "31-90", I462&lt;=365, "91-365", I462&gt;365, "1 Year+")</f>
        <v>91-365</v>
      </c>
      <c r="K462" t="s">
        <v>819</v>
      </c>
      <c r="L462" s="3" cm="1">
        <f t="array" ref="L462">_xlfn.IFS(F462="AUD",E462*$V$2,F462="CAD",E462*$V$3,F462="EUR",E462*$V$4,F462="GBP",E462*$V$5,F462="USD",E462*$V$6)</f>
        <v>3597.78</v>
      </c>
      <c r="M462" s="3" cm="1">
        <f t="array" ref="M462">_xlfn.IFS(G462="Paid", L462, G462="Partial", L462*0.5, G462="Open", 0)</f>
        <v>1798.89</v>
      </c>
      <c r="N462" s="3" cm="1">
        <f t="array" ref="N462">_xlfn.IFS(G462="Open", L462, G462="Partial", L462*0.5, G462="Paid", 0)</f>
        <v>1798.89</v>
      </c>
    </row>
    <row r="463" spans="1:14" x14ac:dyDescent="0.25">
      <c r="A463" t="s">
        <v>467</v>
      </c>
      <c r="B463" t="s">
        <v>807</v>
      </c>
      <c r="C463" s="5">
        <v>45599</v>
      </c>
      <c r="D463" s="5">
        <v>45629</v>
      </c>
      <c r="E463" s="3">
        <v>2642.3</v>
      </c>
      <c r="F463" t="s">
        <v>811</v>
      </c>
      <c r="G463" t="s">
        <v>816</v>
      </c>
      <c r="H463" s="5" t="s">
        <v>825</v>
      </c>
      <c r="I463" s="7">
        <f t="shared" si="7"/>
        <v>477</v>
      </c>
      <c r="J463" s="13" t="str" cm="1">
        <f t="array" ref="J463">_xlfn.IFS(I463=0, "Settled", I463&lt;=30, "1-30", I463&lt;=90, "31-90", I463&lt;=365, "91-365", I463&gt;365, "1 Year+")</f>
        <v>1 Year+</v>
      </c>
      <c r="K463" t="s">
        <v>819</v>
      </c>
      <c r="L463" s="3" cm="1">
        <f t="array" ref="L463">_xlfn.IFS(F463="AUD",E463*$V$2,F463="CAD",E463*$V$3,F463="EUR",E463*$V$4,F463="GBP",E463*$V$5,F463="USD",E463*$V$6)</f>
        <v>2272.3780000000002</v>
      </c>
      <c r="M463" s="3" cm="1">
        <f t="array" ref="M463">_xlfn.IFS(G463="Paid", L463, G463="Partial", L463*0.5, G463="Open", 0)</f>
        <v>0</v>
      </c>
      <c r="N463" s="3" cm="1">
        <f t="array" ref="N463">_xlfn.IFS(G463="Open", L463, G463="Partial", L463*0.5, G463="Paid", 0)</f>
        <v>2272.3780000000002</v>
      </c>
    </row>
    <row r="464" spans="1:14" x14ac:dyDescent="0.25">
      <c r="A464" t="s">
        <v>468</v>
      </c>
      <c r="B464" t="s">
        <v>807</v>
      </c>
      <c r="C464" s="5">
        <v>44983</v>
      </c>
      <c r="D464" s="5">
        <v>45013</v>
      </c>
      <c r="E464" s="3">
        <v>4728.07</v>
      </c>
      <c r="F464" t="s">
        <v>815</v>
      </c>
      <c r="G464" t="s">
        <v>817</v>
      </c>
      <c r="H464" s="5" t="s">
        <v>825</v>
      </c>
      <c r="I464" s="7">
        <f t="shared" si="7"/>
        <v>1093</v>
      </c>
      <c r="J464" s="13" t="str" cm="1">
        <f t="array" ref="J464">_xlfn.IFS(I464=0, "Settled", I464&lt;=30, "1-30", I464&lt;=90, "31-90", I464&lt;=365, "91-365", I464&gt;365, "1 Year+")</f>
        <v>1 Year+</v>
      </c>
      <c r="K464" t="s">
        <v>819</v>
      </c>
      <c r="L464" s="3" cm="1">
        <f t="array" ref="L464">_xlfn.IFS(F464="AUD",E464*$V$2,F464="CAD",E464*$V$3,F464="EUR",E464*$V$4,F464="GBP",E464*$V$5,F464="USD",E464*$V$6)</f>
        <v>6855.7014999999992</v>
      </c>
      <c r="M464" s="3" cm="1">
        <f t="array" ref="M464">_xlfn.IFS(G464="Paid", L464, G464="Partial", L464*0.5, G464="Open", 0)</f>
        <v>3427.8507499999996</v>
      </c>
      <c r="N464" s="3" cm="1">
        <f t="array" ref="N464">_xlfn.IFS(G464="Open", L464, G464="Partial", L464*0.5, G464="Paid", 0)</f>
        <v>3427.8507499999996</v>
      </c>
    </row>
    <row r="465" spans="1:14" x14ac:dyDescent="0.25">
      <c r="A465" t="s">
        <v>469</v>
      </c>
      <c r="B465" t="s">
        <v>810</v>
      </c>
      <c r="C465" s="5">
        <v>45624</v>
      </c>
      <c r="D465" s="5">
        <v>45654</v>
      </c>
      <c r="E465" s="3">
        <v>1560.4</v>
      </c>
      <c r="F465" t="s">
        <v>812</v>
      </c>
      <c r="G465" t="s">
        <v>817</v>
      </c>
      <c r="H465" s="5" t="s">
        <v>825</v>
      </c>
      <c r="I465" s="7">
        <f t="shared" si="7"/>
        <v>452</v>
      </c>
      <c r="J465" s="13" t="str" cm="1">
        <f t="array" ref="J465">_xlfn.IFS(I465=0, "Settled", I465&lt;=30, "1-30", I465&lt;=90, "31-90", I465&lt;=365, "91-365", I465&gt;365, "1 Year+")</f>
        <v>1 Year+</v>
      </c>
      <c r="K465" t="s">
        <v>819</v>
      </c>
      <c r="L465" s="3" cm="1">
        <f t="array" ref="L465">_xlfn.IFS(F465="AUD",E465*$V$2,F465="CAD",E465*$V$3,F465="EUR",E465*$V$4,F465="GBP",E465*$V$5,F465="USD",E465*$V$6)</f>
        <v>2153.3519999999999</v>
      </c>
      <c r="M465" s="3" cm="1">
        <f t="array" ref="M465">_xlfn.IFS(G465="Paid", L465, G465="Partial", L465*0.5, G465="Open", 0)</f>
        <v>1076.6759999999999</v>
      </c>
      <c r="N465" s="3" cm="1">
        <f t="array" ref="N465">_xlfn.IFS(G465="Open", L465, G465="Partial", L465*0.5, G465="Paid", 0)</f>
        <v>1076.6759999999999</v>
      </c>
    </row>
    <row r="466" spans="1:14" x14ac:dyDescent="0.25">
      <c r="A466" t="s">
        <v>470</v>
      </c>
      <c r="B466" t="s">
        <v>809</v>
      </c>
      <c r="C466" s="5">
        <v>45374</v>
      </c>
      <c r="D466" s="5">
        <v>45404</v>
      </c>
      <c r="E466" s="3">
        <v>2026.99</v>
      </c>
      <c r="F466" t="s">
        <v>813</v>
      </c>
      <c r="G466" t="s">
        <v>816</v>
      </c>
      <c r="H466" s="5" t="s">
        <v>825</v>
      </c>
      <c r="I466" s="7">
        <f t="shared" si="7"/>
        <v>702</v>
      </c>
      <c r="J466" s="13" t="str" cm="1">
        <f t="array" ref="J466">_xlfn.IFS(I466=0, "Settled", I466&lt;=30, "1-30", I466&lt;=90, "31-90", I466&lt;=365, "91-365", I466&gt;365, "1 Year+")</f>
        <v>1 Year+</v>
      </c>
      <c r="K466" t="s">
        <v>819</v>
      </c>
      <c r="L466" s="3" cm="1">
        <f t="array" ref="L466">_xlfn.IFS(F466="AUD",E466*$V$2,F466="CAD",E466*$V$3,F466="EUR",E466*$V$4,F466="GBP",E466*$V$5,F466="USD",E466*$V$6)</f>
        <v>1520.2425000000001</v>
      </c>
      <c r="M466" s="3" cm="1">
        <f t="array" ref="M466">_xlfn.IFS(G466="Paid", L466, G466="Partial", L466*0.5, G466="Open", 0)</f>
        <v>0</v>
      </c>
      <c r="N466" s="3" cm="1">
        <f t="array" ref="N466">_xlfn.IFS(G466="Open", L466, G466="Partial", L466*0.5, G466="Paid", 0)</f>
        <v>1520.2425000000001</v>
      </c>
    </row>
    <row r="467" spans="1:14" x14ac:dyDescent="0.25">
      <c r="A467" t="s">
        <v>471</v>
      </c>
      <c r="B467" t="s">
        <v>806</v>
      </c>
      <c r="C467" s="5">
        <v>45574</v>
      </c>
      <c r="D467" s="5">
        <v>45604</v>
      </c>
      <c r="E467" s="3">
        <v>1142.8399999999999</v>
      </c>
      <c r="F467" t="s">
        <v>814</v>
      </c>
      <c r="G467" t="s">
        <v>818</v>
      </c>
      <c r="H467" s="5">
        <v>45604</v>
      </c>
      <c r="I467" s="7">
        <f t="shared" si="7"/>
        <v>0</v>
      </c>
      <c r="J467" s="13" t="str" cm="1">
        <f t="array" ref="J467">_xlfn.IFS(I467=0, "Settled", I467&lt;=30, "1-30", I467&lt;=90, "31-90", I467&lt;=365, "91-365", I467&gt;365, "1 Year+")</f>
        <v>Settled</v>
      </c>
      <c r="K467" t="s">
        <v>819</v>
      </c>
      <c r="L467" s="3" cm="1">
        <f t="array" ref="L467">_xlfn.IFS(F467="AUD",E467*$V$2,F467="CAD",E467*$V$3,F467="EUR",E467*$V$4,F467="GBP",E467*$V$5,F467="USD",E467*$V$6)</f>
        <v>1142.8399999999999</v>
      </c>
      <c r="M467" s="3" cm="1">
        <f t="array" ref="M467">_xlfn.IFS(G467="Paid", L467, G467="Partial", L467*0.5, G467="Open", 0)</f>
        <v>1142.8399999999999</v>
      </c>
      <c r="N467" s="3" cm="1">
        <f t="array" ref="N467">_xlfn.IFS(G467="Open", L467, G467="Partial", L467*0.5, G467="Paid", 0)</f>
        <v>0</v>
      </c>
    </row>
    <row r="468" spans="1:14" x14ac:dyDescent="0.25">
      <c r="A468" t="s">
        <v>472</v>
      </c>
      <c r="B468" t="s">
        <v>809</v>
      </c>
      <c r="C468" s="5">
        <v>45414</v>
      </c>
      <c r="D468" s="5">
        <v>45444</v>
      </c>
      <c r="E468" s="3">
        <v>3401.72</v>
      </c>
      <c r="F468" t="s">
        <v>813</v>
      </c>
      <c r="G468" t="s">
        <v>816</v>
      </c>
      <c r="H468" s="5" t="s">
        <v>825</v>
      </c>
      <c r="I468" s="7">
        <f t="shared" si="7"/>
        <v>662</v>
      </c>
      <c r="J468" s="13" t="str" cm="1">
        <f t="array" ref="J468">_xlfn.IFS(I468=0, "Settled", I468&lt;=30, "1-30", I468&lt;=90, "31-90", I468&lt;=365, "91-365", I468&gt;365, "1 Year+")</f>
        <v>1 Year+</v>
      </c>
      <c r="K468" t="s">
        <v>819</v>
      </c>
      <c r="L468" s="3" cm="1">
        <f t="array" ref="L468">_xlfn.IFS(F468="AUD",E468*$V$2,F468="CAD",E468*$V$3,F468="EUR",E468*$V$4,F468="GBP",E468*$V$5,F468="USD",E468*$V$6)</f>
        <v>2551.29</v>
      </c>
      <c r="M468" s="3" cm="1">
        <f t="array" ref="M468">_xlfn.IFS(G468="Paid", L468, G468="Partial", L468*0.5, G468="Open", 0)</f>
        <v>0</v>
      </c>
      <c r="N468" s="3" cm="1">
        <f t="array" ref="N468">_xlfn.IFS(G468="Open", L468, G468="Partial", L468*0.5, G468="Paid", 0)</f>
        <v>2551.29</v>
      </c>
    </row>
    <row r="469" spans="1:14" x14ac:dyDescent="0.25">
      <c r="A469" t="s">
        <v>473</v>
      </c>
      <c r="B469" t="s">
        <v>806</v>
      </c>
      <c r="C469" s="5">
        <v>45076</v>
      </c>
      <c r="D469" s="5">
        <v>45106</v>
      </c>
      <c r="E469" s="3">
        <v>4753.22</v>
      </c>
      <c r="F469" t="s">
        <v>813</v>
      </c>
      <c r="G469" t="s">
        <v>817</v>
      </c>
      <c r="H469" s="5" t="s">
        <v>825</v>
      </c>
      <c r="I469" s="7">
        <f t="shared" si="7"/>
        <v>1000</v>
      </c>
      <c r="J469" s="13" t="str" cm="1">
        <f t="array" ref="J469">_xlfn.IFS(I469=0, "Settled", I469&lt;=30, "1-30", I469&lt;=90, "31-90", I469&lt;=365, "91-365", I469&gt;365, "1 Year+")</f>
        <v>1 Year+</v>
      </c>
      <c r="K469" t="s">
        <v>819</v>
      </c>
      <c r="L469" s="3" cm="1">
        <f t="array" ref="L469">_xlfn.IFS(F469="AUD",E469*$V$2,F469="CAD",E469*$V$3,F469="EUR",E469*$V$4,F469="GBP",E469*$V$5,F469="USD",E469*$V$6)</f>
        <v>3564.915</v>
      </c>
      <c r="M469" s="3" cm="1">
        <f t="array" ref="M469">_xlfn.IFS(G469="Paid", L469, G469="Partial", L469*0.5, G469="Open", 0)</f>
        <v>1782.4575</v>
      </c>
      <c r="N469" s="3" cm="1">
        <f t="array" ref="N469">_xlfn.IFS(G469="Open", L469, G469="Partial", L469*0.5, G469="Paid", 0)</f>
        <v>1782.4575</v>
      </c>
    </row>
    <row r="470" spans="1:14" x14ac:dyDescent="0.25">
      <c r="A470" t="s">
        <v>474</v>
      </c>
      <c r="B470" t="s">
        <v>806</v>
      </c>
      <c r="C470" s="5">
        <v>45789</v>
      </c>
      <c r="D470" s="5">
        <v>45819</v>
      </c>
      <c r="E470" s="3">
        <v>3640.83</v>
      </c>
      <c r="F470" t="s">
        <v>813</v>
      </c>
      <c r="G470" t="s">
        <v>817</v>
      </c>
      <c r="H470" s="5" t="s">
        <v>825</v>
      </c>
      <c r="I470" s="7">
        <f t="shared" si="7"/>
        <v>287</v>
      </c>
      <c r="J470" s="13" t="str" cm="1">
        <f t="array" ref="J470">_xlfn.IFS(I470=0, "Settled", I470&lt;=30, "1-30", I470&lt;=90, "31-90", I470&lt;=365, "91-365", I470&gt;365, "1 Year+")</f>
        <v>91-365</v>
      </c>
      <c r="K470" t="s">
        <v>819</v>
      </c>
      <c r="L470" s="3" cm="1">
        <f t="array" ref="L470">_xlfn.IFS(F470="AUD",E470*$V$2,F470="CAD",E470*$V$3,F470="EUR",E470*$V$4,F470="GBP",E470*$V$5,F470="USD",E470*$V$6)</f>
        <v>2730.6224999999999</v>
      </c>
      <c r="M470" s="3" cm="1">
        <f t="array" ref="M470">_xlfn.IFS(G470="Paid", L470, G470="Partial", L470*0.5, G470="Open", 0)</f>
        <v>1365.31125</v>
      </c>
      <c r="N470" s="3" cm="1">
        <f t="array" ref="N470">_xlfn.IFS(G470="Open", L470, G470="Partial", L470*0.5, G470="Paid", 0)</f>
        <v>1365.31125</v>
      </c>
    </row>
    <row r="471" spans="1:14" x14ac:dyDescent="0.25">
      <c r="A471" t="s">
        <v>475</v>
      </c>
      <c r="B471" t="s">
        <v>807</v>
      </c>
      <c r="C471" s="5">
        <v>45358</v>
      </c>
      <c r="D471" s="5">
        <v>45388</v>
      </c>
      <c r="E471" s="3">
        <v>2662.58</v>
      </c>
      <c r="F471" t="s">
        <v>812</v>
      </c>
      <c r="G471" t="s">
        <v>817</v>
      </c>
      <c r="H471" s="5" t="s">
        <v>825</v>
      </c>
      <c r="I471" s="7">
        <f t="shared" si="7"/>
        <v>718</v>
      </c>
      <c r="J471" s="13" t="str" cm="1">
        <f t="array" ref="J471">_xlfn.IFS(I471=0, "Settled", I471&lt;=30, "1-30", I471&lt;=90, "31-90", I471&lt;=365, "91-365", I471&gt;365, "1 Year+")</f>
        <v>1 Year+</v>
      </c>
      <c r="K471" t="s">
        <v>819</v>
      </c>
      <c r="L471" s="3" cm="1">
        <f t="array" ref="L471">_xlfn.IFS(F471="AUD",E471*$V$2,F471="CAD",E471*$V$3,F471="EUR",E471*$V$4,F471="GBP",E471*$V$5,F471="USD",E471*$V$6)</f>
        <v>3674.3603999999996</v>
      </c>
      <c r="M471" s="3" cm="1">
        <f t="array" ref="M471">_xlfn.IFS(G471="Paid", L471, G471="Partial", L471*0.5, G471="Open", 0)</f>
        <v>1837.1801999999998</v>
      </c>
      <c r="N471" s="3" cm="1">
        <f t="array" ref="N471">_xlfn.IFS(G471="Open", L471, G471="Partial", L471*0.5, G471="Paid", 0)</f>
        <v>1837.1801999999998</v>
      </c>
    </row>
    <row r="472" spans="1:14" x14ac:dyDescent="0.25">
      <c r="A472" t="s">
        <v>476</v>
      </c>
      <c r="B472" t="s">
        <v>806</v>
      </c>
      <c r="C472" s="5">
        <v>45619</v>
      </c>
      <c r="D472" s="5">
        <v>45649</v>
      </c>
      <c r="E472" s="3">
        <v>212.92</v>
      </c>
      <c r="F472" t="s">
        <v>811</v>
      </c>
      <c r="G472" t="s">
        <v>816</v>
      </c>
      <c r="H472" s="5" t="s">
        <v>825</v>
      </c>
      <c r="I472" s="7">
        <f t="shared" si="7"/>
        <v>457</v>
      </c>
      <c r="J472" s="13" t="str" cm="1">
        <f t="array" ref="J472">_xlfn.IFS(I472=0, "Settled", I472&lt;=30, "1-30", I472&lt;=90, "31-90", I472&lt;=365, "91-365", I472&gt;365, "1 Year+")</f>
        <v>1 Year+</v>
      </c>
      <c r="K472" t="s">
        <v>819</v>
      </c>
      <c r="L472" s="3" cm="1">
        <f t="array" ref="L472">_xlfn.IFS(F472="AUD",E472*$V$2,F472="CAD",E472*$V$3,F472="EUR",E472*$V$4,F472="GBP",E472*$V$5,F472="USD",E472*$V$6)</f>
        <v>183.1112</v>
      </c>
      <c r="M472" s="3" cm="1">
        <f t="array" ref="M472">_xlfn.IFS(G472="Paid", L472, G472="Partial", L472*0.5, G472="Open", 0)</f>
        <v>0</v>
      </c>
      <c r="N472" s="3" cm="1">
        <f t="array" ref="N472">_xlfn.IFS(G472="Open", L472, G472="Partial", L472*0.5, G472="Paid", 0)</f>
        <v>183.1112</v>
      </c>
    </row>
    <row r="473" spans="1:14" x14ac:dyDescent="0.25">
      <c r="A473" t="s">
        <v>477</v>
      </c>
      <c r="B473" t="s">
        <v>806</v>
      </c>
      <c r="C473" s="5">
        <v>45254</v>
      </c>
      <c r="D473" s="5">
        <v>45284</v>
      </c>
      <c r="E473" s="3">
        <v>980.09</v>
      </c>
      <c r="F473" t="s">
        <v>813</v>
      </c>
      <c r="G473" t="s">
        <v>818</v>
      </c>
      <c r="H473" s="5">
        <v>45284</v>
      </c>
      <c r="I473" s="7">
        <f t="shared" si="7"/>
        <v>0</v>
      </c>
      <c r="J473" s="13" t="str" cm="1">
        <f t="array" ref="J473">_xlfn.IFS(I473=0, "Settled", I473&lt;=30, "1-30", I473&lt;=90, "31-90", I473&lt;=365, "91-365", I473&gt;365, "1 Year+")</f>
        <v>Settled</v>
      </c>
      <c r="K473" t="s">
        <v>819</v>
      </c>
      <c r="L473" s="3" cm="1">
        <f t="array" ref="L473">_xlfn.IFS(F473="AUD",E473*$V$2,F473="CAD",E473*$V$3,F473="EUR",E473*$V$4,F473="GBP",E473*$V$5,F473="USD",E473*$V$6)</f>
        <v>735.0675</v>
      </c>
      <c r="M473" s="3" cm="1">
        <f t="array" ref="M473">_xlfn.IFS(G473="Paid", L473, G473="Partial", L473*0.5, G473="Open", 0)</f>
        <v>735.0675</v>
      </c>
      <c r="N473" s="3" cm="1">
        <f t="array" ref="N473">_xlfn.IFS(G473="Open", L473, G473="Partial", L473*0.5, G473="Paid", 0)</f>
        <v>0</v>
      </c>
    </row>
    <row r="474" spans="1:14" x14ac:dyDescent="0.25">
      <c r="A474" t="s">
        <v>478</v>
      </c>
      <c r="B474" t="s">
        <v>808</v>
      </c>
      <c r="C474" s="5">
        <v>45262</v>
      </c>
      <c r="D474" s="5">
        <v>45292</v>
      </c>
      <c r="E474" s="3">
        <v>1179.8800000000001</v>
      </c>
      <c r="F474" t="s">
        <v>813</v>
      </c>
      <c r="G474" t="s">
        <v>816</v>
      </c>
      <c r="H474" s="5" t="s">
        <v>825</v>
      </c>
      <c r="I474" s="7">
        <f t="shared" si="7"/>
        <v>814</v>
      </c>
      <c r="J474" s="13" t="str" cm="1">
        <f t="array" ref="J474">_xlfn.IFS(I474=0, "Settled", I474&lt;=30, "1-30", I474&lt;=90, "31-90", I474&lt;=365, "91-365", I474&gt;365, "1 Year+")</f>
        <v>1 Year+</v>
      </c>
      <c r="K474" t="s">
        <v>819</v>
      </c>
      <c r="L474" s="3" cm="1">
        <f t="array" ref="L474">_xlfn.IFS(F474="AUD",E474*$V$2,F474="CAD",E474*$V$3,F474="EUR",E474*$V$4,F474="GBP",E474*$V$5,F474="USD",E474*$V$6)</f>
        <v>884.91000000000008</v>
      </c>
      <c r="M474" s="3" cm="1">
        <f t="array" ref="M474">_xlfn.IFS(G474="Paid", L474, G474="Partial", L474*0.5, G474="Open", 0)</f>
        <v>0</v>
      </c>
      <c r="N474" s="3" cm="1">
        <f t="array" ref="N474">_xlfn.IFS(G474="Open", L474, G474="Partial", L474*0.5, G474="Paid", 0)</f>
        <v>884.91000000000008</v>
      </c>
    </row>
    <row r="475" spans="1:14" x14ac:dyDescent="0.25">
      <c r="A475" t="s">
        <v>479</v>
      </c>
      <c r="B475" t="s">
        <v>807</v>
      </c>
      <c r="C475" s="5">
        <v>45324</v>
      </c>
      <c r="D475" s="5">
        <v>45354</v>
      </c>
      <c r="E475" s="3">
        <v>1750.63</v>
      </c>
      <c r="F475" t="s">
        <v>815</v>
      </c>
      <c r="G475" t="s">
        <v>816</v>
      </c>
      <c r="H475" s="5" t="s">
        <v>825</v>
      </c>
      <c r="I475" s="7">
        <f t="shared" si="7"/>
        <v>752</v>
      </c>
      <c r="J475" s="13" t="str" cm="1">
        <f t="array" ref="J475">_xlfn.IFS(I475=0, "Settled", I475&lt;=30, "1-30", I475&lt;=90, "31-90", I475&lt;=365, "91-365", I475&gt;365, "1 Year+")</f>
        <v>1 Year+</v>
      </c>
      <c r="K475" t="s">
        <v>819</v>
      </c>
      <c r="L475" s="3" cm="1">
        <f t="array" ref="L475">_xlfn.IFS(F475="AUD",E475*$V$2,F475="CAD",E475*$V$3,F475="EUR",E475*$V$4,F475="GBP",E475*$V$5,F475="USD",E475*$V$6)</f>
        <v>2538.4135000000001</v>
      </c>
      <c r="M475" s="3" cm="1">
        <f t="array" ref="M475">_xlfn.IFS(G475="Paid", L475, G475="Partial", L475*0.5, G475="Open", 0)</f>
        <v>0</v>
      </c>
      <c r="N475" s="3" cm="1">
        <f t="array" ref="N475">_xlfn.IFS(G475="Open", L475, G475="Partial", L475*0.5, G475="Paid", 0)</f>
        <v>2538.4135000000001</v>
      </c>
    </row>
    <row r="476" spans="1:14" x14ac:dyDescent="0.25">
      <c r="A476" t="s">
        <v>480</v>
      </c>
      <c r="B476" t="s">
        <v>807</v>
      </c>
      <c r="C476" s="5">
        <v>45624</v>
      </c>
      <c r="D476" s="5">
        <v>45654</v>
      </c>
      <c r="E476" s="3">
        <v>3207.4</v>
      </c>
      <c r="F476" t="s">
        <v>815</v>
      </c>
      <c r="G476" t="s">
        <v>818</v>
      </c>
      <c r="H476" s="5">
        <v>45654</v>
      </c>
      <c r="I476" s="7">
        <f t="shared" si="7"/>
        <v>0</v>
      </c>
      <c r="J476" s="13" t="str" cm="1">
        <f t="array" ref="J476">_xlfn.IFS(I476=0, "Settled", I476&lt;=30, "1-30", I476&lt;=90, "31-90", I476&lt;=365, "91-365", I476&gt;365, "1 Year+")</f>
        <v>Settled</v>
      </c>
      <c r="K476" t="s">
        <v>819</v>
      </c>
      <c r="L476" s="3" cm="1">
        <f t="array" ref="L476">_xlfn.IFS(F476="AUD",E476*$V$2,F476="CAD",E476*$V$3,F476="EUR",E476*$V$4,F476="GBP",E476*$V$5,F476="USD",E476*$V$6)</f>
        <v>4650.7299999999996</v>
      </c>
      <c r="M476" s="3" cm="1">
        <f t="array" ref="M476">_xlfn.IFS(G476="Paid", L476, G476="Partial", L476*0.5, G476="Open", 0)</f>
        <v>4650.7299999999996</v>
      </c>
      <c r="N476" s="3" cm="1">
        <f t="array" ref="N476">_xlfn.IFS(G476="Open", L476, G476="Partial", L476*0.5, G476="Paid", 0)</f>
        <v>0</v>
      </c>
    </row>
    <row r="477" spans="1:14" x14ac:dyDescent="0.25">
      <c r="A477" t="s">
        <v>481</v>
      </c>
      <c r="B477" t="s">
        <v>807</v>
      </c>
      <c r="C477" s="5">
        <v>45229</v>
      </c>
      <c r="D477" s="5">
        <v>45259</v>
      </c>
      <c r="E477" s="3">
        <v>2412.71</v>
      </c>
      <c r="F477" t="s">
        <v>811</v>
      </c>
      <c r="G477" t="s">
        <v>818</v>
      </c>
      <c r="H477" s="5">
        <v>45259</v>
      </c>
      <c r="I477" s="7">
        <f t="shared" si="7"/>
        <v>0</v>
      </c>
      <c r="J477" s="13" t="str" cm="1">
        <f t="array" ref="J477">_xlfn.IFS(I477=0, "Settled", I477&lt;=30, "1-30", I477&lt;=90, "31-90", I477&lt;=365, "91-365", I477&gt;365, "1 Year+")</f>
        <v>Settled</v>
      </c>
      <c r="K477" t="s">
        <v>819</v>
      </c>
      <c r="L477" s="3" cm="1">
        <f t="array" ref="L477">_xlfn.IFS(F477="AUD",E477*$V$2,F477="CAD",E477*$V$3,F477="EUR",E477*$V$4,F477="GBP",E477*$V$5,F477="USD",E477*$V$6)</f>
        <v>2074.9306000000001</v>
      </c>
      <c r="M477" s="3" cm="1">
        <f t="array" ref="M477">_xlfn.IFS(G477="Paid", L477, G477="Partial", L477*0.5, G477="Open", 0)</f>
        <v>2074.9306000000001</v>
      </c>
      <c r="N477" s="3" cm="1">
        <f t="array" ref="N477">_xlfn.IFS(G477="Open", L477, G477="Partial", L477*0.5, G477="Paid", 0)</f>
        <v>0</v>
      </c>
    </row>
    <row r="478" spans="1:14" x14ac:dyDescent="0.25">
      <c r="A478" t="s">
        <v>482</v>
      </c>
      <c r="B478" t="s">
        <v>810</v>
      </c>
      <c r="C478" s="5">
        <v>45235</v>
      </c>
      <c r="D478" s="5">
        <v>45265</v>
      </c>
      <c r="E478" s="3">
        <v>382.4</v>
      </c>
      <c r="F478" t="s">
        <v>814</v>
      </c>
      <c r="G478" t="s">
        <v>817</v>
      </c>
      <c r="H478" s="5" t="s">
        <v>825</v>
      </c>
      <c r="I478" s="7">
        <f t="shared" si="7"/>
        <v>841</v>
      </c>
      <c r="J478" s="13" t="str" cm="1">
        <f t="array" ref="J478">_xlfn.IFS(I478=0, "Settled", I478&lt;=30, "1-30", I478&lt;=90, "31-90", I478&lt;=365, "91-365", I478&gt;365, "1 Year+")</f>
        <v>1 Year+</v>
      </c>
      <c r="K478" t="s">
        <v>819</v>
      </c>
      <c r="L478" s="3" cm="1">
        <f t="array" ref="L478">_xlfn.IFS(F478="AUD",E478*$V$2,F478="CAD",E478*$V$3,F478="EUR",E478*$V$4,F478="GBP",E478*$V$5,F478="USD",E478*$V$6)</f>
        <v>382.4</v>
      </c>
      <c r="M478" s="3" cm="1">
        <f t="array" ref="M478">_xlfn.IFS(G478="Paid", L478, G478="Partial", L478*0.5, G478="Open", 0)</f>
        <v>191.2</v>
      </c>
      <c r="N478" s="3" cm="1">
        <f t="array" ref="N478">_xlfn.IFS(G478="Open", L478, G478="Partial", L478*0.5, G478="Paid", 0)</f>
        <v>191.2</v>
      </c>
    </row>
    <row r="479" spans="1:14" x14ac:dyDescent="0.25">
      <c r="A479" t="s">
        <v>483</v>
      </c>
      <c r="B479" t="s">
        <v>808</v>
      </c>
      <c r="C479" s="5">
        <v>45106</v>
      </c>
      <c r="D479" s="5">
        <v>45136</v>
      </c>
      <c r="E479" s="3">
        <v>4004.66</v>
      </c>
      <c r="F479" t="s">
        <v>812</v>
      </c>
      <c r="G479" t="s">
        <v>818</v>
      </c>
      <c r="H479" s="5">
        <v>45136</v>
      </c>
      <c r="I479" s="7">
        <f t="shared" si="7"/>
        <v>0</v>
      </c>
      <c r="J479" s="13" t="str" cm="1">
        <f t="array" ref="J479">_xlfn.IFS(I479=0, "Settled", I479&lt;=30, "1-30", I479&lt;=90, "31-90", I479&lt;=365, "91-365", I479&gt;365, "1 Year+")</f>
        <v>Settled</v>
      </c>
      <c r="K479" t="s">
        <v>819</v>
      </c>
      <c r="L479" s="3" cm="1">
        <f t="array" ref="L479">_xlfn.IFS(F479="AUD",E479*$V$2,F479="CAD",E479*$V$3,F479="EUR",E479*$V$4,F479="GBP",E479*$V$5,F479="USD",E479*$V$6)</f>
        <v>5526.4307999999992</v>
      </c>
      <c r="M479" s="3" cm="1">
        <f t="array" ref="M479">_xlfn.IFS(G479="Paid", L479, G479="Partial", L479*0.5, G479="Open", 0)</f>
        <v>5526.4307999999992</v>
      </c>
      <c r="N479" s="3" cm="1">
        <f t="array" ref="N479">_xlfn.IFS(G479="Open", L479, G479="Partial", L479*0.5, G479="Paid", 0)</f>
        <v>0</v>
      </c>
    </row>
    <row r="480" spans="1:14" x14ac:dyDescent="0.25">
      <c r="A480" t="s">
        <v>484</v>
      </c>
      <c r="B480" t="s">
        <v>809</v>
      </c>
      <c r="C480" s="5">
        <v>45342</v>
      </c>
      <c r="D480" s="5">
        <v>45372</v>
      </c>
      <c r="E480" s="3">
        <v>4777.58</v>
      </c>
      <c r="F480" t="s">
        <v>815</v>
      </c>
      <c r="G480" t="s">
        <v>816</v>
      </c>
      <c r="H480" s="5" t="s">
        <v>825</v>
      </c>
      <c r="I480" s="7">
        <f t="shared" si="7"/>
        <v>734</v>
      </c>
      <c r="J480" s="13" t="str" cm="1">
        <f t="array" ref="J480">_xlfn.IFS(I480=0, "Settled", I480&lt;=30, "1-30", I480&lt;=90, "31-90", I480&lt;=365, "91-365", I480&gt;365, "1 Year+")</f>
        <v>1 Year+</v>
      </c>
      <c r="K480" t="s">
        <v>819</v>
      </c>
      <c r="L480" s="3" cm="1">
        <f t="array" ref="L480">_xlfn.IFS(F480="AUD",E480*$V$2,F480="CAD",E480*$V$3,F480="EUR",E480*$V$4,F480="GBP",E480*$V$5,F480="USD",E480*$V$6)</f>
        <v>6927.491</v>
      </c>
      <c r="M480" s="3" cm="1">
        <f t="array" ref="M480">_xlfn.IFS(G480="Paid", L480, G480="Partial", L480*0.5, G480="Open", 0)</f>
        <v>0</v>
      </c>
      <c r="N480" s="3" cm="1">
        <f t="array" ref="N480">_xlfn.IFS(G480="Open", L480, G480="Partial", L480*0.5, G480="Paid", 0)</f>
        <v>6927.491</v>
      </c>
    </row>
    <row r="481" spans="1:14" x14ac:dyDescent="0.25">
      <c r="A481" t="s">
        <v>485</v>
      </c>
      <c r="B481" t="s">
        <v>807</v>
      </c>
      <c r="C481" s="5">
        <v>45185</v>
      </c>
      <c r="D481" s="5">
        <v>45215</v>
      </c>
      <c r="E481" s="3">
        <v>1599.7</v>
      </c>
      <c r="F481" t="s">
        <v>813</v>
      </c>
      <c r="G481" t="s">
        <v>817</v>
      </c>
      <c r="H481" s="5" t="s">
        <v>825</v>
      </c>
      <c r="I481" s="7">
        <f t="shared" si="7"/>
        <v>891</v>
      </c>
      <c r="J481" s="13" t="str" cm="1">
        <f t="array" ref="J481">_xlfn.IFS(I481=0, "Settled", I481&lt;=30, "1-30", I481&lt;=90, "31-90", I481&lt;=365, "91-365", I481&gt;365, "1 Year+")</f>
        <v>1 Year+</v>
      </c>
      <c r="K481" t="s">
        <v>819</v>
      </c>
      <c r="L481" s="3" cm="1">
        <f t="array" ref="L481">_xlfn.IFS(F481="AUD",E481*$V$2,F481="CAD",E481*$V$3,F481="EUR",E481*$V$4,F481="GBP",E481*$V$5,F481="USD",E481*$V$6)</f>
        <v>1199.7750000000001</v>
      </c>
      <c r="M481" s="3" cm="1">
        <f t="array" ref="M481">_xlfn.IFS(G481="Paid", L481, G481="Partial", L481*0.5, G481="Open", 0)</f>
        <v>599.88750000000005</v>
      </c>
      <c r="N481" s="3" cm="1">
        <f t="array" ref="N481">_xlfn.IFS(G481="Open", L481, G481="Partial", L481*0.5, G481="Paid", 0)</f>
        <v>599.88750000000005</v>
      </c>
    </row>
    <row r="482" spans="1:14" x14ac:dyDescent="0.25">
      <c r="A482" t="s">
        <v>486</v>
      </c>
      <c r="B482" t="s">
        <v>807</v>
      </c>
      <c r="C482" s="5">
        <v>45707</v>
      </c>
      <c r="D482" s="5">
        <v>45737</v>
      </c>
      <c r="E482" s="3">
        <v>4973.3</v>
      </c>
      <c r="F482" t="s">
        <v>814</v>
      </c>
      <c r="G482" t="s">
        <v>816</v>
      </c>
      <c r="H482" s="5" t="s">
        <v>825</v>
      </c>
      <c r="I482" s="7">
        <f t="shared" si="7"/>
        <v>369</v>
      </c>
      <c r="J482" s="13" t="str" cm="1">
        <f t="array" ref="J482">_xlfn.IFS(I482=0, "Settled", I482&lt;=30, "1-30", I482&lt;=90, "31-90", I482&lt;=365, "91-365", I482&gt;365, "1 Year+")</f>
        <v>1 Year+</v>
      </c>
      <c r="K482" t="s">
        <v>819</v>
      </c>
      <c r="L482" s="3" cm="1">
        <f t="array" ref="L482">_xlfn.IFS(F482="AUD",E482*$V$2,F482="CAD",E482*$V$3,F482="EUR",E482*$V$4,F482="GBP",E482*$V$5,F482="USD",E482*$V$6)</f>
        <v>4973.3</v>
      </c>
      <c r="M482" s="3" cm="1">
        <f t="array" ref="M482">_xlfn.IFS(G482="Paid", L482, G482="Partial", L482*0.5, G482="Open", 0)</f>
        <v>0</v>
      </c>
      <c r="N482" s="3" cm="1">
        <f t="array" ref="N482">_xlfn.IFS(G482="Open", L482, G482="Partial", L482*0.5, G482="Paid", 0)</f>
        <v>4973.3</v>
      </c>
    </row>
    <row r="483" spans="1:14" x14ac:dyDescent="0.25">
      <c r="A483" t="s">
        <v>487</v>
      </c>
      <c r="B483" t="s">
        <v>808</v>
      </c>
      <c r="C483" s="5">
        <v>45099</v>
      </c>
      <c r="D483" s="5">
        <v>45129</v>
      </c>
      <c r="E483" s="3">
        <v>717.91</v>
      </c>
      <c r="F483" t="s">
        <v>811</v>
      </c>
      <c r="G483" t="s">
        <v>816</v>
      </c>
      <c r="H483" s="5" t="s">
        <v>825</v>
      </c>
      <c r="I483" s="7">
        <f t="shared" si="7"/>
        <v>977</v>
      </c>
      <c r="J483" s="13" t="str" cm="1">
        <f t="array" ref="J483">_xlfn.IFS(I483=0, "Settled", I483&lt;=30, "1-30", I483&lt;=90, "31-90", I483&lt;=365, "91-365", I483&gt;365, "1 Year+")</f>
        <v>1 Year+</v>
      </c>
      <c r="K483" t="s">
        <v>819</v>
      </c>
      <c r="L483" s="3" cm="1">
        <f t="array" ref="L483">_xlfn.IFS(F483="AUD",E483*$V$2,F483="CAD",E483*$V$3,F483="EUR",E483*$V$4,F483="GBP",E483*$V$5,F483="USD",E483*$V$6)</f>
        <v>617.40260000000001</v>
      </c>
      <c r="M483" s="3" cm="1">
        <f t="array" ref="M483">_xlfn.IFS(G483="Paid", L483, G483="Partial", L483*0.5, G483="Open", 0)</f>
        <v>0</v>
      </c>
      <c r="N483" s="3" cm="1">
        <f t="array" ref="N483">_xlfn.IFS(G483="Open", L483, G483="Partial", L483*0.5, G483="Paid", 0)</f>
        <v>617.40260000000001</v>
      </c>
    </row>
    <row r="484" spans="1:14" x14ac:dyDescent="0.25">
      <c r="A484" t="s">
        <v>488</v>
      </c>
      <c r="B484" t="s">
        <v>809</v>
      </c>
      <c r="C484" s="5">
        <v>45684</v>
      </c>
      <c r="D484" s="5">
        <v>45714</v>
      </c>
      <c r="E484" s="3">
        <v>1388.79</v>
      </c>
      <c r="F484" t="s">
        <v>813</v>
      </c>
      <c r="G484" t="s">
        <v>818</v>
      </c>
      <c r="H484" s="5">
        <v>45714</v>
      </c>
      <c r="I484" s="7">
        <f t="shared" si="7"/>
        <v>0</v>
      </c>
      <c r="J484" s="13" t="str" cm="1">
        <f t="array" ref="J484">_xlfn.IFS(I484=0, "Settled", I484&lt;=30, "1-30", I484&lt;=90, "31-90", I484&lt;=365, "91-365", I484&gt;365, "1 Year+")</f>
        <v>Settled</v>
      </c>
      <c r="K484" t="s">
        <v>819</v>
      </c>
      <c r="L484" s="3" cm="1">
        <f t="array" ref="L484">_xlfn.IFS(F484="AUD",E484*$V$2,F484="CAD",E484*$V$3,F484="EUR",E484*$V$4,F484="GBP",E484*$V$5,F484="USD",E484*$V$6)</f>
        <v>1041.5925</v>
      </c>
      <c r="M484" s="3" cm="1">
        <f t="array" ref="M484">_xlfn.IFS(G484="Paid", L484, G484="Partial", L484*0.5, G484="Open", 0)</f>
        <v>1041.5925</v>
      </c>
      <c r="N484" s="3" cm="1">
        <f t="array" ref="N484">_xlfn.IFS(G484="Open", L484, G484="Partial", L484*0.5, G484="Paid", 0)</f>
        <v>0</v>
      </c>
    </row>
    <row r="485" spans="1:14" x14ac:dyDescent="0.25">
      <c r="A485" t="s">
        <v>489</v>
      </c>
      <c r="B485" t="s">
        <v>806</v>
      </c>
      <c r="C485" s="5">
        <v>45823</v>
      </c>
      <c r="D485" s="5">
        <v>45853</v>
      </c>
      <c r="E485" s="3">
        <v>669.06</v>
      </c>
      <c r="F485" t="s">
        <v>813</v>
      </c>
      <c r="G485" t="s">
        <v>818</v>
      </c>
      <c r="H485" s="5">
        <v>45853</v>
      </c>
      <c r="I485" s="7">
        <f t="shared" si="7"/>
        <v>0</v>
      </c>
      <c r="J485" s="13" t="str" cm="1">
        <f t="array" ref="J485">_xlfn.IFS(I485=0, "Settled", I485&lt;=30, "1-30", I485&lt;=90, "31-90", I485&lt;=365, "91-365", I485&gt;365, "1 Year+")</f>
        <v>Settled</v>
      </c>
      <c r="K485" t="s">
        <v>819</v>
      </c>
      <c r="L485" s="3" cm="1">
        <f t="array" ref="L485">_xlfn.IFS(F485="AUD",E485*$V$2,F485="CAD",E485*$V$3,F485="EUR",E485*$V$4,F485="GBP",E485*$V$5,F485="USD",E485*$V$6)</f>
        <v>501.79499999999996</v>
      </c>
      <c r="M485" s="3" cm="1">
        <f t="array" ref="M485">_xlfn.IFS(G485="Paid", L485, G485="Partial", L485*0.5, G485="Open", 0)</f>
        <v>501.79499999999996</v>
      </c>
      <c r="N485" s="3" cm="1">
        <f t="array" ref="N485">_xlfn.IFS(G485="Open", L485, G485="Partial", L485*0.5, G485="Paid", 0)</f>
        <v>0</v>
      </c>
    </row>
    <row r="486" spans="1:14" x14ac:dyDescent="0.25">
      <c r="A486" t="s">
        <v>490</v>
      </c>
      <c r="B486" t="s">
        <v>808</v>
      </c>
      <c r="C486" s="5">
        <v>45192</v>
      </c>
      <c r="D486" s="5">
        <v>45222</v>
      </c>
      <c r="E486" s="3">
        <v>158.72</v>
      </c>
      <c r="F486" t="s">
        <v>815</v>
      </c>
      <c r="G486" t="s">
        <v>818</v>
      </c>
      <c r="H486" s="5">
        <v>45222</v>
      </c>
      <c r="I486" s="7">
        <f t="shared" si="7"/>
        <v>0</v>
      </c>
      <c r="J486" s="13" t="str" cm="1">
        <f t="array" ref="J486">_xlfn.IFS(I486=0, "Settled", I486&lt;=30, "1-30", I486&lt;=90, "31-90", I486&lt;=365, "91-365", I486&gt;365, "1 Year+")</f>
        <v>Settled</v>
      </c>
      <c r="K486" t="s">
        <v>819</v>
      </c>
      <c r="L486" s="3" cm="1">
        <f t="array" ref="L486">_xlfn.IFS(F486="AUD",E486*$V$2,F486="CAD",E486*$V$3,F486="EUR",E486*$V$4,F486="GBP",E486*$V$5,F486="USD",E486*$V$6)</f>
        <v>230.14400000000001</v>
      </c>
      <c r="M486" s="3" cm="1">
        <f t="array" ref="M486">_xlfn.IFS(G486="Paid", L486, G486="Partial", L486*0.5, G486="Open", 0)</f>
        <v>230.14400000000001</v>
      </c>
      <c r="N486" s="3" cm="1">
        <f t="array" ref="N486">_xlfn.IFS(G486="Open", L486, G486="Partial", L486*0.5, G486="Paid", 0)</f>
        <v>0</v>
      </c>
    </row>
    <row r="487" spans="1:14" x14ac:dyDescent="0.25">
      <c r="A487" t="s">
        <v>491</v>
      </c>
      <c r="B487" t="s">
        <v>810</v>
      </c>
      <c r="C487" s="5">
        <v>45346</v>
      </c>
      <c r="D487" s="5">
        <v>45376</v>
      </c>
      <c r="E487" s="3">
        <v>502.65</v>
      </c>
      <c r="F487" t="s">
        <v>814</v>
      </c>
      <c r="G487" t="s">
        <v>817</v>
      </c>
      <c r="H487" s="5" t="s">
        <v>825</v>
      </c>
      <c r="I487" s="7">
        <f t="shared" si="7"/>
        <v>730</v>
      </c>
      <c r="J487" s="13" t="str" cm="1">
        <f t="array" ref="J487">_xlfn.IFS(I487=0, "Settled", I487&lt;=30, "1-30", I487&lt;=90, "31-90", I487&lt;=365, "91-365", I487&gt;365, "1 Year+")</f>
        <v>1 Year+</v>
      </c>
      <c r="K487" t="s">
        <v>819</v>
      </c>
      <c r="L487" s="3" cm="1">
        <f t="array" ref="L487">_xlfn.IFS(F487="AUD",E487*$V$2,F487="CAD",E487*$V$3,F487="EUR",E487*$V$4,F487="GBP",E487*$V$5,F487="USD",E487*$V$6)</f>
        <v>502.65</v>
      </c>
      <c r="M487" s="3" cm="1">
        <f t="array" ref="M487">_xlfn.IFS(G487="Paid", L487, G487="Partial", L487*0.5, G487="Open", 0)</f>
        <v>251.32499999999999</v>
      </c>
      <c r="N487" s="3" cm="1">
        <f t="array" ref="N487">_xlfn.IFS(G487="Open", L487, G487="Partial", L487*0.5, G487="Paid", 0)</f>
        <v>251.32499999999999</v>
      </c>
    </row>
    <row r="488" spans="1:14" x14ac:dyDescent="0.25">
      <c r="A488" t="s">
        <v>492</v>
      </c>
      <c r="B488" t="s">
        <v>809</v>
      </c>
      <c r="C488" s="5">
        <v>44971</v>
      </c>
      <c r="D488" s="5">
        <v>45001</v>
      </c>
      <c r="E488" s="3">
        <v>2135.0100000000002</v>
      </c>
      <c r="F488" t="s">
        <v>811</v>
      </c>
      <c r="G488" t="s">
        <v>816</v>
      </c>
      <c r="H488" s="5" t="s">
        <v>825</v>
      </c>
      <c r="I488" s="7">
        <f t="shared" si="7"/>
        <v>1105</v>
      </c>
      <c r="J488" s="13" t="str" cm="1">
        <f t="array" ref="J488">_xlfn.IFS(I488=0, "Settled", I488&lt;=30, "1-30", I488&lt;=90, "31-90", I488&lt;=365, "91-365", I488&gt;365, "1 Year+")</f>
        <v>1 Year+</v>
      </c>
      <c r="K488" t="s">
        <v>819</v>
      </c>
      <c r="L488" s="3" cm="1">
        <f t="array" ref="L488">_xlfn.IFS(F488="AUD",E488*$V$2,F488="CAD",E488*$V$3,F488="EUR",E488*$V$4,F488="GBP",E488*$V$5,F488="USD",E488*$V$6)</f>
        <v>1836.1086000000003</v>
      </c>
      <c r="M488" s="3" cm="1">
        <f t="array" ref="M488">_xlfn.IFS(G488="Paid", L488, G488="Partial", L488*0.5, G488="Open", 0)</f>
        <v>0</v>
      </c>
      <c r="N488" s="3" cm="1">
        <f t="array" ref="N488">_xlfn.IFS(G488="Open", L488, G488="Partial", L488*0.5, G488="Paid", 0)</f>
        <v>1836.1086000000003</v>
      </c>
    </row>
    <row r="489" spans="1:14" x14ac:dyDescent="0.25">
      <c r="A489" t="s">
        <v>493</v>
      </c>
      <c r="B489" t="s">
        <v>810</v>
      </c>
      <c r="C489" s="5">
        <v>44937</v>
      </c>
      <c r="D489" s="5">
        <v>44967</v>
      </c>
      <c r="E489" s="3">
        <v>386.6</v>
      </c>
      <c r="F489" t="s">
        <v>814</v>
      </c>
      <c r="G489" t="s">
        <v>817</v>
      </c>
      <c r="H489" s="5" t="s">
        <v>825</v>
      </c>
      <c r="I489" s="7">
        <f t="shared" si="7"/>
        <v>1139</v>
      </c>
      <c r="J489" s="13" t="str" cm="1">
        <f t="array" ref="J489">_xlfn.IFS(I489=0, "Settled", I489&lt;=30, "1-30", I489&lt;=90, "31-90", I489&lt;=365, "91-365", I489&gt;365, "1 Year+")</f>
        <v>1 Year+</v>
      </c>
      <c r="K489" t="s">
        <v>819</v>
      </c>
      <c r="L489" s="3" cm="1">
        <f t="array" ref="L489">_xlfn.IFS(F489="AUD",E489*$V$2,F489="CAD",E489*$V$3,F489="EUR",E489*$V$4,F489="GBP",E489*$V$5,F489="USD",E489*$V$6)</f>
        <v>386.6</v>
      </c>
      <c r="M489" s="3" cm="1">
        <f t="array" ref="M489">_xlfn.IFS(G489="Paid", L489, G489="Partial", L489*0.5, G489="Open", 0)</f>
        <v>193.3</v>
      </c>
      <c r="N489" s="3" cm="1">
        <f t="array" ref="N489">_xlfn.IFS(G489="Open", L489, G489="Partial", L489*0.5, G489="Paid", 0)</f>
        <v>193.3</v>
      </c>
    </row>
    <row r="490" spans="1:14" x14ac:dyDescent="0.25">
      <c r="A490" t="s">
        <v>494</v>
      </c>
      <c r="B490" t="s">
        <v>809</v>
      </c>
      <c r="C490" s="5">
        <v>45131</v>
      </c>
      <c r="D490" s="5">
        <v>45161</v>
      </c>
      <c r="E490" s="3">
        <v>3185.2</v>
      </c>
      <c r="F490" t="s">
        <v>814</v>
      </c>
      <c r="G490" t="s">
        <v>816</v>
      </c>
      <c r="H490" s="5" t="s">
        <v>825</v>
      </c>
      <c r="I490" s="7">
        <f t="shared" si="7"/>
        <v>945</v>
      </c>
      <c r="J490" s="13" t="str" cm="1">
        <f t="array" ref="J490">_xlfn.IFS(I490=0, "Settled", I490&lt;=30, "1-30", I490&lt;=90, "31-90", I490&lt;=365, "91-365", I490&gt;365, "1 Year+")</f>
        <v>1 Year+</v>
      </c>
      <c r="K490" t="s">
        <v>819</v>
      </c>
      <c r="L490" s="3" cm="1">
        <f t="array" ref="L490">_xlfn.IFS(F490="AUD",E490*$V$2,F490="CAD",E490*$V$3,F490="EUR",E490*$V$4,F490="GBP",E490*$V$5,F490="USD",E490*$V$6)</f>
        <v>3185.2</v>
      </c>
      <c r="M490" s="3" cm="1">
        <f t="array" ref="M490">_xlfn.IFS(G490="Paid", L490, G490="Partial", L490*0.5, G490="Open", 0)</f>
        <v>0</v>
      </c>
      <c r="N490" s="3" cm="1">
        <f t="array" ref="N490">_xlfn.IFS(G490="Open", L490, G490="Partial", L490*0.5, G490="Paid", 0)</f>
        <v>3185.2</v>
      </c>
    </row>
    <row r="491" spans="1:14" x14ac:dyDescent="0.25">
      <c r="A491" t="s">
        <v>495</v>
      </c>
      <c r="B491" t="s">
        <v>809</v>
      </c>
      <c r="C491" s="5">
        <v>45387</v>
      </c>
      <c r="D491" s="5">
        <v>45417</v>
      </c>
      <c r="E491" s="3">
        <v>2817.08</v>
      </c>
      <c r="F491" t="s">
        <v>812</v>
      </c>
      <c r="G491" t="s">
        <v>817</v>
      </c>
      <c r="H491" s="5" t="s">
        <v>825</v>
      </c>
      <c r="I491" s="7">
        <f t="shared" si="7"/>
        <v>689</v>
      </c>
      <c r="J491" s="13" t="str" cm="1">
        <f t="array" ref="J491">_xlfn.IFS(I491=0, "Settled", I491&lt;=30, "1-30", I491&lt;=90, "31-90", I491&lt;=365, "91-365", I491&gt;365, "1 Year+")</f>
        <v>1 Year+</v>
      </c>
      <c r="K491" t="s">
        <v>819</v>
      </c>
      <c r="L491" s="3" cm="1">
        <f t="array" ref="L491">_xlfn.IFS(F491="AUD",E491*$V$2,F491="CAD",E491*$V$3,F491="EUR",E491*$V$4,F491="GBP",E491*$V$5,F491="USD",E491*$V$6)</f>
        <v>3887.5703999999996</v>
      </c>
      <c r="M491" s="3" cm="1">
        <f t="array" ref="M491">_xlfn.IFS(G491="Paid", L491, G491="Partial", L491*0.5, G491="Open", 0)</f>
        <v>1943.7851999999998</v>
      </c>
      <c r="N491" s="3" cm="1">
        <f t="array" ref="N491">_xlfn.IFS(G491="Open", L491, G491="Partial", L491*0.5, G491="Paid", 0)</f>
        <v>1943.7851999999998</v>
      </c>
    </row>
    <row r="492" spans="1:14" x14ac:dyDescent="0.25">
      <c r="A492" t="s">
        <v>496</v>
      </c>
      <c r="B492" t="s">
        <v>810</v>
      </c>
      <c r="C492" s="5">
        <v>44991</v>
      </c>
      <c r="D492" s="5">
        <v>45021</v>
      </c>
      <c r="E492" s="3">
        <v>3897.98</v>
      </c>
      <c r="F492" t="s">
        <v>815</v>
      </c>
      <c r="G492" t="s">
        <v>818</v>
      </c>
      <c r="H492" s="5">
        <v>45021</v>
      </c>
      <c r="I492" s="7">
        <f t="shared" si="7"/>
        <v>0</v>
      </c>
      <c r="J492" s="13" t="str" cm="1">
        <f t="array" ref="J492">_xlfn.IFS(I492=0, "Settled", I492&lt;=30, "1-30", I492&lt;=90, "31-90", I492&lt;=365, "91-365", I492&gt;365, "1 Year+")</f>
        <v>Settled</v>
      </c>
      <c r="K492" t="s">
        <v>819</v>
      </c>
      <c r="L492" s="3" cm="1">
        <f t="array" ref="L492">_xlfn.IFS(F492="AUD",E492*$V$2,F492="CAD",E492*$V$3,F492="EUR",E492*$V$4,F492="GBP",E492*$V$5,F492="USD",E492*$V$6)</f>
        <v>5652.0709999999999</v>
      </c>
      <c r="M492" s="3" cm="1">
        <f t="array" ref="M492">_xlfn.IFS(G492="Paid", L492, G492="Partial", L492*0.5, G492="Open", 0)</f>
        <v>5652.0709999999999</v>
      </c>
      <c r="N492" s="3" cm="1">
        <f t="array" ref="N492">_xlfn.IFS(G492="Open", L492, G492="Partial", L492*0.5, G492="Paid", 0)</f>
        <v>0</v>
      </c>
    </row>
    <row r="493" spans="1:14" x14ac:dyDescent="0.25">
      <c r="A493" t="s">
        <v>497</v>
      </c>
      <c r="B493" t="s">
        <v>809</v>
      </c>
      <c r="C493" s="5">
        <v>45631</v>
      </c>
      <c r="D493" s="5">
        <v>45661</v>
      </c>
      <c r="E493" s="3">
        <v>3623.95</v>
      </c>
      <c r="F493" t="s">
        <v>814</v>
      </c>
      <c r="G493" t="s">
        <v>817</v>
      </c>
      <c r="H493" s="5" t="s">
        <v>825</v>
      </c>
      <c r="I493" s="7">
        <f t="shared" si="7"/>
        <v>445</v>
      </c>
      <c r="J493" s="13" t="str" cm="1">
        <f t="array" ref="J493">_xlfn.IFS(I493=0, "Settled", I493&lt;=30, "1-30", I493&lt;=90, "31-90", I493&lt;=365, "91-365", I493&gt;365, "1 Year+")</f>
        <v>1 Year+</v>
      </c>
      <c r="K493" t="s">
        <v>819</v>
      </c>
      <c r="L493" s="3" cm="1">
        <f t="array" ref="L493">_xlfn.IFS(F493="AUD",E493*$V$2,F493="CAD",E493*$V$3,F493="EUR",E493*$V$4,F493="GBP",E493*$V$5,F493="USD",E493*$V$6)</f>
        <v>3623.95</v>
      </c>
      <c r="M493" s="3" cm="1">
        <f t="array" ref="M493">_xlfn.IFS(G493="Paid", L493, G493="Partial", L493*0.5, G493="Open", 0)</f>
        <v>1811.9749999999999</v>
      </c>
      <c r="N493" s="3" cm="1">
        <f t="array" ref="N493">_xlfn.IFS(G493="Open", L493, G493="Partial", L493*0.5, G493="Paid", 0)</f>
        <v>1811.9749999999999</v>
      </c>
    </row>
    <row r="494" spans="1:14" x14ac:dyDescent="0.25">
      <c r="A494" t="s">
        <v>498</v>
      </c>
      <c r="B494" t="s">
        <v>808</v>
      </c>
      <c r="C494" s="5">
        <v>45433</v>
      </c>
      <c r="D494" s="5">
        <v>45463</v>
      </c>
      <c r="E494" s="3">
        <v>1803.9</v>
      </c>
      <c r="F494" t="s">
        <v>814</v>
      </c>
      <c r="G494" t="s">
        <v>817</v>
      </c>
      <c r="H494" s="5" t="s">
        <v>825</v>
      </c>
      <c r="I494" s="7">
        <f t="shared" si="7"/>
        <v>643</v>
      </c>
      <c r="J494" s="13" t="str" cm="1">
        <f t="array" ref="J494">_xlfn.IFS(I494=0, "Settled", I494&lt;=30, "1-30", I494&lt;=90, "31-90", I494&lt;=365, "91-365", I494&gt;365, "1 Year+")</f>
        <v>1 Year+</v>
      </c>
      <c r="K494" t="s">
        <v>819</v>
      </c>
      <c r="L494" s="3" cm="1">
        <f t="array" ref="L494">_xlfn.IFS(F494="AUD",E494*$V$2,F494="CAD",E494*$V$3,F494="EUR",E494*$V$4,F494="GBP",E494*$V$5,F494="USD",E494*$V$6)</f>
        <v>1803.9</v>
      </c>
      <c r="M494" s="3" cm="1">
        <f t="array" ref="M494">_xlfn.IFS(G494="Paid", L494, G494="Partial", L494*0.5, G494="Open", 0)</f>
        <v>901.95</v>
      </c>
      <c r="N494" s="3" cm="1">
        <f t="array" ref="N494">_xlfn.IFS(G494="Open", L494, G494="Partial", L494*0.5, G494="Paid", 0)</f>
        <v>901.95</v>
      </c>
    </row>
    <row r="495" spans="1:14" x14ac:dyDescent="0.25">
      <c r="A495" t="s">
        <v>499</v>
      </c>
      <c r="B495" t="s">
        <v>806</v>
      </c>
      <c r="C495" s="5">
        <v>45106</v>
      </c>
      <c r="D495" s="5">
        <v>45136</v>
      </c>
      <c r="E495" s="3">
        <v>2543.84</v>
      </c>
      <c r="F495" t="s">
        <v>814</v>
      </c>
      <c r="G495" t="s">
        <v>817</v>
      </c>
      <c r="H495" s="5" t="s">
        <v>825</v>
      </c>
      <c r="I495" s="7">
        <f t="shared" si="7"/>
        <v>970</v>
      </c>
      <c r="J495" s="13" t="str" cm="1">
        <f t="array" ref="J495">_xlfn.IFS(I495=0, "Settled", I495&lt;=30, "1-30", I495&lt;=90, "31-90", I495&lt;=365, "91-365", I495&gt;365, "1 Year+")</f>
        <v>1 Year+</v>
      </c>
      <c r="K495" t="s">
        <v>819</v>
      </c>
      <c r="L495" s="3" cm="1">
        <f t="array" ref="L495">_xlfn.IFS(F495="AUD",E495*$V$2,F495="CAD",E495*$V$3,F495="EUR",E495*$V$4,F495="GBP",E495*$V$5,F495="USD",E495*$V$6)</f>
        <v>2543.84</v>
      </c>
      <c r="M495" s="3" cm="1">
        <f t="array" ref="M495">_xlfn.IFS(G495="Paid", L495, G495="Partial", L495*0.5, G495="Open", 0)</f>
        <v>1271.92</v>
      </c>
      <c r="N495" s="3" cm="1">
        <f t="array" ref="N495">_xlfn.IFS(G495="Open", L495, G495="Partial", L495*0.5, G495="Paid", 0)</f>
        <v>1271.92</v>
      </c>
    </row>
    <row r="496" spans="1:14" x14ac:dyDescent="0.25">
      <c r="A496" t="s">
        <v>500</v>
      </c>
      <c r="B496" t="s">
        <v>810</v>
      </c>
      <c r="C496" s="5">
        <v>45128</v>
      </c>
      <c r="D496" s="5">
        <v>45158</v>
      </c>
      <c r="E496" s="3">
        <v>292.57</v>
      </c>
      <c r="F496" t="s">
        <v>812</v>
      </c>
      <c r="G496" t="s">
        <v>816</v>
      </c>
      <c r="H496" s="5" t="s">
        <v>825</v>
      </c>
      <c r="I496" s="7">
        <f t="shared" si="7"/>
        <v>948</v>
      </c>
      <c r="J496" s="13" t="str" cm="1">
        <f t="array" ref="J496">_xlfn.IFS(I496=0, "Settled", I496&lt;=30, "1-30", I496&lt;=90, "31-90", I496&lt;=365, "91-365", I496&gt;365, "1 Year+")</f>
        <v>1 Year+</v>
      </c>
      <c r="K496" t="s">
        <v>819</v>
      </c>
      <c r="L496" s="3" cm="1">
        <f t="array" ref="L496">_xlfn.IFS(F496="AUD",E496*$V$2,F496="CAD",E496*$V$3,F496="EUR",E496*$V$4,F496="GBP",E496*$V$5,F496="USD",E496*$V$6)</f>
        <v>403.74659999999994</v>
      </c>
      <c r="M496" s="3" cm="1">
        <f t="array" ref="M496">_xlfn.IFS(G496="Paid", L496, G496="Partial", L496*0.5, G496="Open", 0)</f>
        <v>0</v>
      </c>
      <c r="N496" s="3" cm="1">
        <f t="array" ref="N496">_xlfn.IFS(G496="Open", L496, G496="Partial", L496*0.5, G496="Paid", 0)</f>
        <v>403.74659999999994</v>
      </c>
    </row>
    <row r="497" spans="1:14" x14ac:dyDescent="0.25">
      <c r="A497" t="s">
        <v>501</v>
      </c>
      <c r="B497" t="s">
        <v>808</v>
      </c>
      <c r="C497" s="5">
        <v>45522</v>
      </c>
      <c r="D497" s="5">
        <v>45552</v>
      </c>
      <c r="E497" s="3">
        <v>688.61</v>
      </c>
      <c r="F497" t="s">
        <v>814</v>
      </c>
      <c r="G497" t="s">
        <v>818</v>
      </c>
      <c r="H497" s="5">
        <v>45552</v>
      </c>
      <c r="I497" s="7">
        <f t="shared" si="7"/>
        <v>0</v>
      </c>
      <c r="J497" s="13" t="str" cm="1">
        <f t="array" ref="J497">_xlfn.IFS(I497=0, "Settled", I497&lt;=30, "1-30", I497&lt;=90, "31-90", I497&lt;=365, "91-365", I497&gt;365, "1 Year+")</f>
        <v>Settled</v>
      </c>
      <c r="K497" t="s">
        <v>819</v>
      </c>
      <c r="L497" s="3" cm="1">
        <f t="array" ref="L497">_xlfn.IFS(F497="AUD",E497*$V$2,F497="CAD",E497*$V$3,F497="EUR",E497*$V$4,F497="GBP",E497*$V$5,F497="USD",E497*$V$6)</f>
        <v>688.61</v>
      </c>
      <c r="M497" s="3" cm="1">
        <f t="array" ref="M497">_xlfn.IFS(G497="Paid", L497, G497="Partial", L497*0.5, G497="Open", 0)</f>
        <v>688.61</v>
      </c>
      <c r="N497" s="3" cm="1">
        <f t="array" ref="N497">_xlfn.IFS(G497="Open", L497, G497="Partial", L497*0.5, G497="Paid", 0)</f>
        <v>0</v>
      </c>
    </row>
    <row r="498" spans="1:14" x14ac:dyDescent="0.25">
      <c r="A498" t="s">
        <v>502</v>
      </c>
      <c r="B498" t="s">
        <v>809</v>
      </c>
      <c r="C498" s="5">
        <v>45288</v>
      </c>
      <c r="D498" s="5">
        <v>45318</v>
      </c>
      <c r="E498" s="3">
        <v>1121.18</v>
      </c>
      <c r="F498" t="s">
        <v>814</v>
      </c>
      <c r="G498" t="s">
        <v>817</v>
      </c>
      <c r="H498" s="5" t="s">
        <v>825</v>
      </c>
      <c r="I498" s="7">
        <f t="shared" si="7"/>
        <v>788</v>
      </c>
      <c r="J498" s="13" t="str" cm="1">
        <f t="array" ref="J498">_xlfn.IFS(I498=0, "Settled", I498&lt;=30, "1-30", I498&lt;=90, "31-90", I498&lt;=365, "91-365", I498&gt;365, "1 Year+")</f>
        <v>1 Year+</v>
      </c>
      <c r="K498" t="s">
        <v>819</v>
      </c>
      <c r="L498" s="3" cm="1">
        <f t="array" ref="L498">_xlfn.IFS(F498="AUD",E498*$V$2,F498="CAD",E498*$V$3,F498="EUR",E498*$V$4,F498="GBP",E498*$V$5,F498="USD",E498*$V$6)</f>
        <v>1121.18</v>
      </c>
      <c r="M498" s="3" cm="1">
        <f t="array" ref="M498">_xlfn.IFS(G498="Paid", L498, G498="Partial", L498*0.5, G498="Open", 0)</f>
        <v>560.59</v>
      </c>
      <c r="N498" s="3" cm="1">
        <f t="array" ref="N498">_xlfn.IFS(G498="Open", L498, G498="Partial", L498*0.5, G498="Paid", 0)</f>
        <v>560.59</v>
      </c>
    </row>
    <row r="499" spans="1:14" x14ac:dyDescent="0.25">
      <c r="A499" t="s">
        <v>503</v>
      </c>
      <c r="B499" t="s">
        <v>807</v>
      </c>
      <c r="C499" s="5">
        <v>45395</v>
      </c>
      <c r="D499" s="5">
        <v>45425</v>
      </c>
      <c r="E499" s="3">
        <v>3953.98</v>
      </c>
      <c r="F499" t="s">
        <v>811</v>
      </c>
      <c r="G499" t="s">
        <v>817</v>
      </c>
      <c r="H499" s="5" t="s">
        <v>825</v>
      </c>
      <c r="I499" s="7">
        <f t="shared" si="7"/>
        <v>681</v>
      </c>
      <c r="J499" s="13" t="str" cm="1">
        <f t="array" ref="J499">_xlfn.IFS(I499=0, "Settled", I499&lt;=30, "1-30", I499&lt;=90, "31-90", I499&lt;=365, "91-365", I499&gt;365, "1 Year+")</f>
        <v>1 Year+</v>
      </c>
      <c r="K499" t="s">
        <v>819</v>
      </c>
      <c r="L499" s="3" cm="1">
        <f t="array" ref="L499">_xlfn.IFS(F499="AUD",E499*$V$2,F499="CAD",E499*$V$3,F499="EUR",E499*$V$4,F499="GBP",E499*$V$5,F499="USD",E499*$V$6)</f>
        <v>3400.4227999999998</v>
      </c>
      <c r="M499" s="3" cm="1">
        <f t="array" ref="M499">_xlfn.IFS(G499="Paid", L499, G499="Partial", L499*0.5, G499="Open", 0)</f>
        <v>1700.2113999999999</v>
      </c>
      <c r="N499" s="3" cm="1">
        <f t="array" ref="N499">_xlfn.IFS(G499="Open", L499, G499="Partial", L499*0.5, G499="Paid", 0)</f>
        <v>1700.2113999999999</v>
      </c>
    </row>
    <row r="500" spans="1:14" x14ac:dyDescent="0.25">
      <c r="A500" t="s">
        <v>504</v>
      </c>
      <c r="B500" t="s">
        <v>808</v>
      </c>
      <c r="C500" s="5">
        <v>45327</v>
      </c>
      <c r="D500" s="5">
        <v>45357</v>
      </c>
      <c r="E500" s="3">
        <v>597.75</v>
      </c>
      <c r="F500" t="s">
        <v>814</v>
      </c>
      <c r="G500" t="s">
        <v>816</v>
      </c>
      <c r="H500" s="5" t="s">
        <v>825</v>
      </c>
      <c r="I500" s="7">
        <f t="shared" si="7"/>
        <v>749</v>
      </c>
      <c r="J500" s="13" t="str" cm="1">
        <f t="array" ref="J500">_xlfn.IFS(I500=0, "Settled", I500&lt;=30, "1-30", I500&lt;=90, "31-90", I500&lt;=365, "91-365", I500&gt;365, "1 Year+")</f>
        <v>1 Year+</v>
      </c>
      <c r="K500" t="s">
        <v>819</v>
      </c>
      <c r="L500" s="3" cm="1">
        <f t="array" ref="L500">_xlfn.IFS(F500="AUD",E500*$V$2,F500="CAD",E500*$V$3,F500="EUR",E500*$V$4,F500="GBP",E500*$V$5,F500="USD",E500*$V$6)</f>
        <v>597.75</v>
      </c>
      <c r="M500" s="3" cm="1">
        <f t="array" ref="M500">_xlfn.IFS(G500="Paid", L500, G500="Partial", L500*0.5, G500="Open", 0)</f>
        <v>0</v>
      </c>
      <c r="N500" s="3" cm="1">
        <f t="array" ref="N500">_xlfn.IFS(G500="Open", L500, G500="Partial", L500*0.5, G500="Paid", 0)</f>
        <v>597.75</v>
      </c>
    </row>
    <row r="501" spans="1:14" x14ac:dyDescent="0.25">
      <c r="A501" t="s">
        <v>505</v>
      </c>
      <c r="B501" t="s">
        <v>806</v>
      </c>
      <c r="C501" s="5">
        <v>45680</v>
      </c>
      <c r="D501" s="5">
        <v>45710</v>
      </c>
      <c r="E501" s="3">
        <v>1752.55</v>
      </c>
      <c r="F501" t="s">
        <v>814</v>
      </c>
      <c r="G501" t="s">
        <v>816</v>
      </c>
      <c r="H501" s="5" t="s">
        <v>825</v>
      </c>
      <c r="I501" s="7">
        <f t="shared" si="7"/>
        <v>396</v>
      </c>
      <c r="J501" s="13" t="str" cm="1">
        <f t="array" ref="J501">_xlfn.IFS(I501=0, "Settled", I501&lt;=30, "1-30", I501&lt;=90, "31-90", I501&lt;=365, "91-365", I501&gt;365, "1 Year+")</f>
        <v>1 Year+</v>
      </c>
      <c r="K501" t="s">
        <v>819</v>
      </c>
      <c r="L501" s="3" cm="1">
        <f t="array" ref="L501">_xlfn.IFS(F501="AUD",E501*$V$2,F501="CAD",E501*$V$3,F501="EUR",E501*$V$4,F501="GBP",E501*$V$5,F501="USD",E501*$V$6)</f>
        <v>1752.55</v>
      </c>
      <c r="M501" s="3" cm="1">
        <f t="array" ref="M501">_xlfn.IFS(G501="Paid", L501, G501="Partial", L501*0.5, G501="Open", 0)</f>
        <v>0</v>
      </c>
      <c r="N501" s="3" cm="1">
        <f t="array" ref="N501">_xlfn.IFS(G501="Open", L501, G501="Partial", L501*0.5, G501="Paid", 0)</f>
        <v>1752.55</v>
      </c>
    </row>
    <row r="502" spans="1:14" x14ac:dyDescent="0.25">
      <c r="A502" t="s">
        <v>506</v>
      </c>
      <c r="B502" t="s">
        <v>808</v>
      </c>
      <c r="C502" s="5">
        <v>44998</v>
      </c>
      <c r="D502" s="5">
        <v>45028</v>
      </c>
      <c r="E502" s="3">
        <v>3490.73</v>
      </c>
      <c r="F502" t="s">
        <v>811</v>
      </c>
      <c r="G502" t="s">
        <v>816</v>
      </c>
      <c r="H502" s="5" t="s">
        <v>825</v>
      </c>
      <c r="I502" s="7">
        <f t="shared" si="7"/>
        <v>1078</v>
      </c>
      <c r="J502" s="13" t="str" cm="1">
        <f t="array" ref="J502">_xlfn.IFS(I502=0, "Settled", I502&lt;=30, "1-30", I502&lt;=90, "31-90", I502&lt;=365, "91-365", I502&gt;365, "1 Year+")</f>
        <v>1 Year+</v>
      </c>
      <c r="K502" t="s">
        <v>819</v>
      </c>
      <c r="L502" s="3" cm="1">
        <f t="array" ref="L502">_xlfn.IFS(F502="AUD",E502*$V$2,F502="CAD",E502*$V$3,F502="EUR",E502*$V$4,F502="GBP",E502*$V$5,F502="USD",E502*$V$6)</f>
        <v>3002.0277999999998</v>
      </c>
      <c r="M502" s="3" cm="1">
        <f t="array" ref="M502">_xlfn.IFS(G502="Paid", L502, G502="Partial", L502*0.5, G502="Open", 0)</f>
        <v>0</v>
      </c>
      <c r="N502" s="3" cm="1">
        <f t="array" ref="N502">_xlfn.IFS(G502="Open", L502, G502="Partial", L502*0.5, G502="Paid", 0)</f>
        <v>3002.0277999999998</v>
      </c>
    </row>
    <row r="503" spans="1:14" x14ac:dyDescent="0.25">
      <c r="A503" t="s">
        <v>507</v>
      </c>
      <c r="B503" t="s">
        <v>806</v>
      </c>
      <c r="C503" s="5">
        <v>45584</v>
      </c>
      <c r="D503" s="5">
        <v>45614</v>
      </c>
      <c r="E503" s="3">
        <v>1143.7</v>
      </c>
      <c r="F503" t="s">
        <v>815</v>
      </c>
      <c r="G503" t="s">
        <v>817</v>
      </c>
      <c r="H503" s="5" t="s">
        <v>825</v>
      </c>
      <c r="I503" s="7">
        <f t="shared" si="7"/>
        <v>492</v>
      </c>
      <c r="J503" s="13" t="str" cm="1">
        <f t="array" ref="J503">_xlfn.IFS(I503=0, "Settled", I503&lt;=30, "1-30", I503&lt;=90, "31-90", I503&lt;=365, "91-365", I503&gt;365, "1 Year+")</f>
        <v>1 Year+</v>
      </c>
      <c r="K503" t="s">
        <v>819</v>
      </c>
      <c r="L503" s="3" cm="1">
        <f t="array" ref="L503">_xlfn.IFS(F503="AUD",E503*$V$2,F503="CAD",E503*$V$3,F503="EUR",E503*$V$4,F503="GBP",E503*$V$5,F503="USD",E503*$V$6)</f>
        <v>1658.365</v>
      </c>
      <c r="M503" s="3" cm="1">
        <f t="array" ref="M503">_xlfn.IFS(G503="Paid", L503, G503="Partial", L503*0.5, G503="Open", 0)</f>
        <v>829.1825</v>
      </c>
      <c r="N503" s="3" cm="1">
        <f t="array" ref="N503">_xlfn.IFS(G503="Open", L503, G503="Partial", L503*0.5, G503="Paid", 0)</f>
        <v>829.1825</v>
      </c>
    </row>
    <row r="504" spans="1:14" x14ac:dyDescent="0.25">
      <c r="A504" t="s">
        <v>508</v>
      </c>
      <c r="B504" t="s">
        <v>810</v>
      </c>
      <c r="C504" s="5">
        <v>45555</v>
      </c>
      <c r="D504" s="5">
        <v>45585</v>
      </c>
      <c r="E504" s="3">
        <v>636.6</v>
      </c>
      <c r="F504" t="s">
        <v>811</v>
      </c>
      <c r="G504" t="s">
        <v>818</v>
      </c>
      <c r="H504" s="5">
        <v>45585</v>
      </c>
      <c r="I504" s="7">
        <f t="shared" si="7"/>
        <v>0</v>
      </c>
      <c r="J504" s="13" t="str" cm="1">
        <f t="array" ref="J504">_xlfn.IFS(I504=0, "Settled", I504&lt;=30, "1-30", I504&lt;=90, "31-90", I504&lt;=365, "91-365", I504&gt;365, "1 Year+")</f>
        <v>Settled</v>
      </c>
      <c r="K504" t="s">
        <v>819</v>
      </c>
      <c r="L504" s="3" cm="1">
        <f t="array" ref="L504">_xlfn.IFS(F504="AUD",E504*$V$2,F504="CAD",E504*$V$3,F504="EUR",E504*$V$4,F504="GBP",E504*$V$5,F504="USD",E504*$V$6)</f>
        <v>547.476</v>
      </c>
      <c r="M504" s="3" cm="1">
        <f t="array" ref="M504">_xlfn.IFS(G504="Paid", L504, G504="Partial", L504*0.5, G504="Open", 0)</f>
        <v>547.476</v>
      </c>
      <c r="N504" s="3" cm="1">
        <f t="array" ref="N504">_xlfn.IFS(G504="Open", L504, G504="Partial", L504*0.5, G504="Paid", 0)</f>
        <v>0</v>
      </c>
    </row>
    <row r="505" spans="1:14" x14ac:dyDescent="0.25">
      <c r="A505" t="s">
        <v>509</v>
      </c>
      <c r="B505" t="s">
        <v>807</v>
      </c>
      <c r="C505" s="5">
        <v>45761</v>
      </c>
      <c r="D505" s="5">
        <v>45791</v>
      </c>
      <c r="E505" s="3">
        <v>3339.54</v>
      </c>
      <c r="F505" t="s">
        <v>811</v>
      </c>
      <c r="G505" t="s">
        <v>816</v>
      </c>
      <c r="H505" s="5" t="s">
        <v>825</v>
      </c>
      <c r="I505" s="7">
        <f t="shared" si="7"/>
        <v>315</v>
      </c>
      <c r="J505" s="13" t="str" cm="1">
        <f t="array" ref="J505">_xlfn.IFS(I505=0, "Settled", I505&lt;=30, "1-30", I505&lt;=90, "31-90", I505&lt;=365, "91-365", I505&gt;365, "1 Year+")</f>
        <v>91-365</v>
      </c>
      <c r="K505" t="s">
        <v>819</v>
      </c>
      <c r="L505" s="3" cm="1">
        <f t="array" ref="L505">_xlfn.IFS(F505="AUD",E505*$V$2,F505="CAD",E505*$V$3,F505="EUR",E505*$V$4,F505="GBP",E505*$V$5,F505="USD",E505*$V$6)</f>
        <v>2872.0043999999998</v>
      </c>
      <c r="M505" s="3" cm="1">
        <f t="array" ref="M505">_xlfn.IFS(G505="Paid", L505, G505="Partial", L505*0.5, G505="Open", 0)</f>
        <v>0</v>
      </c>
      <c r="N505" s="3" cm="1">
        <f t="array" ref="N505">_xlfn.IFS(G505="Open", L505, G505="Partial", L505*0.5, G505="Paid", 0)</f>
        <v>2872.0043999999998</v>
      </c>
    </row>
    <row r="506" spans="1:14" x14ac:dyDescent="0.25">
      <c r="A506" t="s">
        <v>510</v>
      </c>
      <c r="B506" t="s">
        <v>806</v>
      </c>
      <c r="C506" s="5">
        <v>45641</v>
      </c>
      <c r="D506" s="5">
        <v>45671</v>
      </c>
      <c r="E506" s="3">
        <v>3555.72</v>
      </c>
      <c r="F506" t="s">
        <v>811</v>
      </c>
      <c r="G506" t="s">
        <v>817</v>
      </c>
      <c r="H506" s="5" t="s">
        <v>825</v>
      </c>
      <c r="I506" s="7">
        <f t="shared" si="7"/>
        <v>435</v>
      </c>
      <c r="J506" s="13" t="str" cm="1">
        <f t="array" ref="J506">_xlfn.IFS(I506=0, "Settled", I506&lt;=30, "1-30", I506&lt;=90, "31-90", I506&lt;=365, "91-365", I506&gt;365, "1 Year+")</f>
        <v>1 Year+</v>
      </c>
      <c r="K506" t="s">
        <v>819</v>
      </c>
      <c r="L506" s="3" cm="1">
        <f t="array" ref="L506">_xlfn.IFS(F506="AUD",E506*$V$2,F506="CAD",E506*$V$3,F506="EUR",E506*$V$4,F506="GBP",E506*$V$5,F506="USD",E506*$V$6)</f>
        <v>3057.9191999999998</v>
      </c>
      <c r="M506" s="3" cm="1">
        <f t="array" ref="M506">_xlfn.IFS(G506="Paid", L506, G506="Partial", L506*0.5, G506="Open", 0)</f>
        <v>1528.9595999999999</v>
      </c>
      <c r="N506" s="3" cm="1">
        <f t="array" ref="N506">_xlfn.IFS(G506="Open", L506, G506="Partial", L506*0.5, G506="Paid", 0)</f>
        <v>1528.9595999999999</v>
      </c>
    </row>
    <row r="507" spans="1:14" x14ac:dyDescent="0.25">
      <c r="A507" t="s">
        <v>511</v>
      </c>
      <c r="B507" t="s">
        <v>808</v>
      </c>
      <c r="C507" s="5">
        <v>45777</v>
      </c>
      <c r="D507" s="5">
        <v>45807</v>
      </c>
      <c r="E507" s="3">
        <v>2971.5</v>
      </c>
      <c r="F507" t="s">
        <v>814</v>
      </c>
      <c r="G507" t="s">
        <v>816</v>
      </c>
      <c r="H507" s="5" t="s">
        <v>825</v>
      </c>
      <c r="I507" s="7">
        <f t="shared" si="7"/>
        <v>299</v>
      </c>
      <c r="J507" s="13" t="str" cm="1">
        <f t="array" ref="J507">_xlfn.IFS(I507=0, "Settled", I507&lt;=30, "1-30", I507&lt;=90, "31-90", I507&lt;=365, "91-365", I507&gt;365, "1 Year+")</f>
        <v>91-365</v>
      </c>
      <c r="K507" t="s">
        <v>819</v>
      </c>
      <c r="L507" s="3" cm="1">
        <f t="array" ref="L507">_xlfn.IFS(F507="AUD",E507*$V$2,F507="CAD",E507*$V$3,F507="EUR",E507*$V$4,F507="GBP",E507*$V$5,F507="USD",E507*$V$6)</f>
        <v>2971.5</v>
      </c>
      <c r="M507" s="3" cm="1">
        <f t="array" ref="M507">_xlfn.IFS(G507="Paid", L507, G507="Partial", L507*0.5, G507="Open", 0)</f>
        <v>0</v>
      </c>
      <c r="N507" s="3" cm="1">
        <f t="array" ref="N507">_xlfn.IFS(G507="Open", L507, G507="Partial", L507*0.5, G507="Paid", 0)</f>
        <v>2971.5</v>
      </c>
    </row>
    <row r="508" spans="1:14" x14ac:dyDescent="0.25">
      <c r="A508" t="s">
        <v>512</v>
      </c>
      <c r="B508" t="s">
        <v>806</v>
      </c>
      <c r="C508" s="5">
        <v>45786</v>
      </c>
      <c r="D508" s="5">
        <v>45816</v>
      </c>
      <c r="E508" s="3">
        <v>2945.39</v>
      </c>
      <c r="F508" t="s">
        <v>815</v>
      </c>
      <c r="G508" t="s">
        <v>818</v>
      </c>
      <c r="H508" s="5">
        <v>45816</v>
      </c>
      <c r="I508" s="7">
        <f t="shared" si="7"/>
        <v>0</v>
      </c>
      <c r="J508" s="13" t="str" cm="1">
        <f t="array" ref="J508">_xlfn.IFS(I508=0, "Settled", I508&lt;=30, "1-30", I508&lt;=90, "31-90", I508&lt;=365, "91-365", I508&gt;365, "1 Year+")</f>
        <v>Settled</v>
      </c>
      <c r="K508" t="s">
        <v>819</v>
      </c>
      <c r="L508" s="3" cm="1">
        <f t="array" ref="L508">_xlfn.IFS(F508="AUD",E508*$V$2,F508="CAD",E508*$V$3,F508="EUR",E508*$V$4,F508="GBP",E508*$V$5,F508="USD",E508*$V$6)</f>
        <v>4270.8154999999997</v>
      </c>
      <c r="M508" s="3" cm="1">
        <f t="array" ref="M508">_xlfn.IFS(G508="Paid", L508, G508="Partial", L508*0.5, G508="Open", 0)</f>
        <v>4270.8154999999997</v>
      </c>
      <c r="N508" s="3" cm="1">
        <f t="array" ref="N508">_xlfn.IFS(G508="Open", L508, G508="Partial", L508*0.5, G508="Paid", 0)</f>
        <v>0</v>
      </c>
    </row>
    <row r="509" spans="1:14" x14ac:dyDescent="0.25">
      <c r="A509" t="s">
        <v>513</v>
      </c>
      <c r="B509" t="s">
        <v>808</v>
      </c>
      <c r="C509" s="5">
        <v>45472</v>
      </c>
      <c r="D509" s="5">
        <v>45502</v>
      </c>
      <c r="E509" s="3">
        <v>4563.8</v>
      </c>
      <c r="F509" t="s">
        <v>813</v>
      </c>
      <c r="G509" t="s">
        <v>818</v>
      </c>
      <c r="H509" s="5">
        <v>45502</v>
      </c>
      <c r="I509" s="7">
        <f t="shared" si="7"/>
        <v>0</v>
      </c>
      <c r="J509" s="13" t="str" cm="1">
        <f t="array" ref="J509">_xlfn.IFS(I509=0, "Settled", I509&lt;=30, "1-30", I509&lt;=90, "31-90", I509&lt;=365, "91-365", I509&gt;365, "1 Year+")</f>
        <v>Settled</v>
      </c>
      <c r="K509" t="s">
        <v>819</v>
      </c>
      <c r="L509" s="3" cm="1">
        <f t="array" ref="L509">_xlfn.IFS(F509="AUD",E509*$V$2,F509="CAD",E509*$V$3,F509="EUR",E509*$V$4,F509="GBP",E509*$V$5,F509="USD",E509*$V$6)</f>
        <v>3422.8500000000004</v>
      </c>
      <c r="M509" s="3" cm="1">
        <f t="array" ref="M509">_xlfn.IFS(G509="Paid", L509, G509="Partial", L509*0.5, G509="Open", 0)</f>
        <v>3422.8500000000004</v>
      </c>
      <c r="N509" s="3" cm="1">
        <f t="array" ref="N509">_xlfn.IFS(G509="Open", L509, G509="Partial", L509*0.5, G509="Paid", 0)</f>
        <v>0</v>
      </c>
    </row>
    <row r="510" spans="1:14" x14ac:dyDescent="0.25">
      <c r="A510" t="s">
        <v>514</v>
      </c>
      <c r="B510" t="s">
        <v>808</v>
      </c>
      <c r="C510" s="5">
        <v>45002</v>
      </c>
      <c r="D510" s="5">
        <v>45032</v>
      </c>
      <c r="E510" s="3">
        <v>3590.5</v>
      </c>
      <c r="F510" t="s">
        <v>815</v>
      </c>
      <c r="G510" t="s">
        <v>816</v>
      </c>
      <c r="H510" s="5" t="s">
        <v>825</v>
      </c>
      <c r="I510" s="7">
        <f t="shared" si="7"/>
        <v>1074</v>
      </c>
      <c r="J510" s="13" t="str" cm="1">
        <f t="array" ref="J510">_xlfn.IFS(I510=0, "Settled", I510&lt;=30, "1-30", I510&lt;=90, "31-90", I510&lt;=365, "91-365", I510&gt;365, "1 Year+")</f>
        <v>1 Year+</v>
      </c>
      <c r="K510" t="s">
        <v>819</v>
      </c>
      <c r="L510" s="3" cm="1">
        <f t="array" ref="L510">_xlfn.IFS(F510="AUD",E510*$V$2,F510="CAD",E510*$V$3,F510="EUR",E510*$V$4,F510="GBP",E510*$V$5,F510="USD",E510*$V$6)</f>
        <v>5206.2249999999995</v>
      </c>
      <c r="M510" s="3" cm="1">
        <f t="array" ref="M510">_xlfn.IFS(G510="Paid", L510, G510="Partial", L510*0.5, G510="Open", 0)</f>
        <v>0</v>
      </c>
      <c r="N510" s="3" cm="1">
        <f t="array" ref="N510">_xlfn.IFS(G510="Open", L510, G510="Partial", L510*0.5, G510="Paid", 0)</f>
        <v>5206.2249999999995</v>
      </c>
    </row>
    <row r="511" spans="1:14" x14ac:dyDescent="0.25">
      <c r="A511" t="s">
        <v>515</v>
      </c>
      <c r="B511" t="s">
        <v>808</v>
      </c>
      <c r="C511" s="5">
        <v>44948</v>
      </c>
      <c r="D511" s="5">
        <v>44978</v>
      </c>
      <c r="E511" s="3">
        <v>1989.22</v>
      </c>
      <c r="F511" t="s">
        <v>811</v>
      </c>
      <c r="G511" t="s">
        <v>817</v>
      </c>
      <c r="H511" s="5" t="s">
        <v>825</v>
      </c>
      <c r="I511" s="7">
        <f t="shared" si="7"/>
        <v>1128</v>
      </c>
      <c r="J511" s="13" t="str" cm="1">
        <f t="array" ref="J511">_xlfn.IFS(I511=0, "Settled", I511&lt;=30, "1-30", I511&lt;=90, "31-90", I511&lt;=365, "91-365", I511&gt;365, "1 Year+")</f>
        <v>1 Year+</v>
      </c>
      <c r="K511" t="s">
        <v>819</v>
      </c>
      <c r="L511" s="3" cm="1">
        <f t="array" ref="L511">_xlfn.IFS(F511="AUD",E511*$V$2,F511="CAD",E511*$V$3,F511="EUR",E511*$V$4,F511="GBP",E511*$V$5,F511="USD",E511*$V$6)</f>
        <v>1710.7292</v>
      </c>
      <c r="M511" s="3" cm="1">
        <f t="array" ref="M511">_xlfn.IFS(G511="Paid", L511, G511="Partial", L511*0.5, G511="Open", 0)</f>
        <v>855.3646</v>
      </c>
      <c r="N511" s="3" cm="1">
        <f t="array" ref="N511">_xlfn.IFS(G511="Open", L511, G511="Partial", L511*0.5, G511="Paid", 0)</f>
        <v>855.3646</v>
      </c>
    </row>
    <row r="512" spans="1:14" x14ac:dyDescent="0.25">
      <c r="A512" t="s">
        <v>516</v>
      </c>
      <c r="B512" t="s">
        <v>806</v>
      </c>
      <c r="C512" s="5">
        <v>44930</v>
      </c>
      <c r="D512" s="5">
        <v>44960</v>
      </c>
      <c r="E512" s="3">
        <v>4650.78</v>
      </c>
      <c r="F512" t="s">
        <v>812</v>
      </c>
      <c r="G512" t="s">
        <v>816</v>
      </c>
      <c r="H512" s="5" t="s">
        <v>825</v>
      </c>
      <c r="I512" s="7">
        <f t="shared" si="7"/>
        <v>1146</v>
      </c>
      <c r="J512" s="13" t="str" cm="1">
        <f t="array" ref="J512">_xlfn.IFS(I512=0, "Settled", I512&lt;=30, "1-30", I512&lt;=90, "31-90", I512&lt;=365, "91-365", I512&gt;365, "1 Year+")</f>
        <v>1 Year+</v>
      </c>
      <c r="K512" t="s">
        <v>819</v>
      </c>
      <c r="L512" s="3" cm="1">
        <f t="array" ref="L512">_xlfn.IFS(F512="AUD",E512*$V$2,F512="CAD",E512*$V$3,F512="EUR",E512*$V$4,F512="GBP",E512*$V$5,F512="USD",E512*$V$6)</f>
        <v>6418.076399999999</v>
      </c>
      <c r="M512" s="3" cm="1">
        <f t="array" ref="M512">_xlfn.IFS(G512="Paid", L512, G512="Partial", L512*0.5, G512="Open", 0)</f>
        <v>0</v>
      </c>
      <c r="N512" s="3" cm="1">
        <f t="array" ref="N512">_xlfn.IFS(G512="Open", L512, G512="Partial", L512*0.5, G512="Paid", 0)</f>
        <v>6418.076399999999</v>
      </c>
    </row>
    <row r="513" spans="1:14" x14ac:dyDescent="0.25">
      <c r="A513" t="s">
        <v>517</v>
      </c>
      <c r="B513" t="s">
        <v>810</v>
      </c>
      <c r="C513" s="5">
        <v>45118</v>
      </c>
      <c r="D513" s="5">
        <v>45148</v>
      </c>
      <c r="E513" s="3">
        <v>3071.51</v>
      </c>
      <c r="F513" t="s">
        <v>812</v>
      </c>
      <c r="G513" t="s">
        <v>817</v>
      </c>
      <c r="H513" s="5" t="s">
        <v>825</v>
      </c>
      <c r="I513" s="7">
        <f t="shared" si="7"/>
        <v>958</v>
      </c>
      <c r="J513" s="13" t="str" cm="1">
        <f t="array" ref="J513">_xlfn.IFS(I513=0, "Settled", I513&lt;=30, "1-30", I513&lt;=90, "31-90", I513&lt;=365, "91-365", I513&gt;365, "1 Year+")</f>
        <v>1 Year+</v>
      </c>
      <c r="K513" t="s">
        <v>819</v>
      </c>
      <c r="L513" s="3" cm="1">
        <f t="array" ref="L513">_xlfn.IFS(F513="AUD",E513*$V$2,F513="CAD",E513*$V$3,F513="EUR",E513*$V$4,F513="GBP",E513*$V$5,F513="USD",E513*$V$6)</f>
        <v>4238.6837999999998</v>
      </c>
      <c r="M513" s="3" cm="1">
        <f t="array" ref="M513">_xlfn.IFS(G513="Paid", L513, G513="Partial", L513*0.5, G513="Open", 0)</f>
        <v>2119.3418999999999</v>
      </c>
      <c r="N513" s="3" cm="1">
        <f t="array" ref="N513">_xlfn.IFS(G513="Open", L513, G513="Partial", L513*0.5, G513="Paid", 0)</f>
        <v>2119.3418999999999</v>
      </c>
    </row>
    <row r="514" spans="1:14" x14ac:dyDescent="0.25">
      <c r="A514" t="s">
        <v>518</v>
      </c>
      <c r="B514" t="s">
        <v>808</v>
      </c>
      <c r="C514" s="5">
        <v>45196</v>
      </c>
      <c r="D514" s="5">
        <v>45226</v>
      </c>
      <c r="E514" s="3">
        <v>4956.1099999999997</v>
      </c>
      <c r="F514" t="s">
        <v>813</v>
      </c>
      <c r="G514" t="s">
        <v>816</v>
      </c>
      <c r="H514" s="5" t="s">
        <v>825</v>
      </c>
      <c r="I514" s="7">
        <f t="shared" si="7"/>
        <v>880</v>
      </c>
      <c r="J514" s="13" t="str" cm="1">
        <f t="array" ref="J514">_xlfn.IFS(I514=0, "Settled", I514&lt;=30, "1-30", I514&lt;=90, "31-90", I514&lt;=365, "91-365", I514&gt;365, "1 Year+")</f>
        <v>1 Year+</v>
      </c>
      <c r="K514" t="s">
        <v>819</v>
      </c>
      <c r="L514" s="3" cm="1">
        <f t="array" ref="L514">_xlfn.IFS(F514="AUD",E514*$V$2,F514="CAD",E514*$V$3,F514="EUR",E514*$V$4,F514="GBP",E514*$V$5,F514="USD",E514*$V$6)</f>
        <v>3717.0824999999995</v>
      </c>
      <c r="M514" s="3" cm="1">
        <f t="array" ref="M514">_xlfn.IFS(G514="Paid", L514, G514="Partial", L514*0.5, G514="Open", 0)</f>
        <v>0</v>
      </c>
      <c r="N514" s="3" cm="1">
        <f t="array" ref="N514">_xlfn.IFS(G514="Open", L514, G514="Partial", L514*0.5, G514="Paid", 0)</f>
        <v>3717.0824999999995</v>
      </c>
    </row>
    <row r="515" spans="1:14" x14ac:dyDescent="0.25">
      <c r="A515" t="s">
        <v>519</v>
      </c>
      <c r="B515" t="s">
        <v>806</v>
      </c>
      <c r="C515" s="5">
        <v>45446</v>
      </c>
      <c r="D515" s="5">
        <v>45476</v>
      </c>
      <c r="E515" s="3">
        <v>2561.35</v>
      </c>
      <c r="F515" t="s">
        <v>815</v>
      </c>
      <c r="G515" t="s">
        <v>816</v>
      </c>
      <c r="H515" s="5" t="s">
        <v>825</v>
      </c>
      <c r="I515" s="7">
        <f t="shared" ref="I515:I578" si="8">IF(G515="Paid",0,DATE(2026,3,25)-D515)</f>
        <v>630</v>
      </c>
      <c r="J515" s="13" t="str" cm="1">
        <f t="array" ref="J515">_xlfn.IFS(I515=0, "Settled", I515&lt;=30, "1-30", I515&lt;=90, "31-90", I515&lt;=365, "91-365", I515&gt;365, "1 Year+")</f>
        <v>1 Year+</v>
      </c>
      <c r="K515" t="s">
        <v>819</v>
      </c>
      <c r="L515" s="3" cm="1">
        <f t="array" ref="L515">_xlfn.IFS(F515="AUD",E515*$V$2,F515="CAD",E515*$V$3,F515="EUR",E515*$V$4,F515="GBP",E515*$V$5,F515="USD",E515*$V$6)</f>
        <v>3713.9574999999995</v>
      </c>
      <c r="M515" s="3" cm="1">
        <f t="array" ref="M515">_xlfn.IFS(G515="Paid", L515, G515="Partial", L515*0.5, G515="Open", 0)</f>
        <v>0</v>
      </c>
      <c r="N515" s="3" cm="1">
        <f t="array" ref="N515">_xlfn.IFS(G515="Open", L515, G515="Partial", L515*0.5, G515="Paid", 0)</f>
        <v>3713.9574999999995</v>
      </c>
    </row>
    <row r="516" spans="1:14" x14ac:dyDescent="0.25">
      <c r="A516" t="s">
        <v>520</v>
      </c>
      <c r="B516" t="s">
        <v>808</v>
      </c>
      <c r="C516" s="5">
        <v>45637</v>
      </c>
      <c r="D516" s="5">
        <v>45667</v>
      </c>
      <c r="E516" s="3">
        <v>3812.86</v>
      </c>
      <c r="F516" t="s">
        <v>813</v>
      </c>
      <c r="G516" t="s">
        <v>816</v>
      </c>
      <c r="H516" s="5" t="s">
        <v>825</v>
      </c>
      <c r="I516" s="7">
        <f t="shared" si="8"/>
        <v>439</v>
      </c>
      <c r="J516" s="13" t="str" cm="1">
        <f t="array" ref="J516">_xlfn.IFS(I516=0, "Settled", I516&lt;=30, "1-30", I516&lt;=90, "31-90", I516&lt;=365, "91-365", I516&gt;365, "1 Year+")</f>
        <v>1 Year+</v>
      </c>
      <c r="K516" t="s">
        <v>819</v>
      </c>
      <c r="L516" s="3" cm="1">
        <f t="array" ref="L516">_xlfn.IFS(F516="AUD",E516*$V$2,F516="CAD",E516*$V$3,F516="EUR",E516*$V$4,F516="GBP",E516*$V$5,F516="USD",E516*$V$6)</f>
        <v>2859.645</v>
      </c>
      <c r="M516" s="3" cm="1">
        <f t="array" ref="M516">_xlfn.IFS(G516="Paid", L516, G516="Partial", L516*0.5, G516="Open", 0)</f>
        <v>0</v>
      </c>
      <c r="N516" s="3" cm="1">
        <f t="array" ref="N516">_xlfn.IFS(G516="Open", L516, G516="Partial", L516*0.5, G516="Paid", 0)</f>
        <v>2859.645</v>
      </c>
    </row>
    <row r="517" spans="1:14" x14ac:dyDescent="0.25">
      <c r="A517" t="s">
        <v>521</v>
      </c>
      <c r="B517" t="s">
        <v>807</v>
      </c>
      <c r="C517" s="5">
        <v>45291</v>
      </c>
      <c r="D517" s="5">
        <v>45321</v>
      </c>
      <c r="E517" s="3">
        <v>4798.3</v>
      </c>
      <c r="F517" t="s">
        <v>812</v>
      </c>
      <c r="G517" t="s">
        <v>816</v>
      </c>
      <c r="H517" s="5" t="s">
        <v>825</v>
      </c>
      <c r="I517" s="7">
        <f t="shared" si="8"/>
        <v>785</v>
      </c>
      <c r="J517" s="13" t="str" cm="1">
        <f t="array" ref="J517">_xlfn.IFS(I517=0, "Settled", I517&lt;=30, "1-30", I517&lt;=90, "31-90", I517&lt;=365, "91-365", I517&gt;365, "1 Year+")</f>
        <v>1 Year+</v>
      </c>
      <c r="K517" t="s">
        <v>819</v>
      </c>
      <c r="L517" s="3" cm="1">
        <f t="array" ref="L517">_xlfn.IFS(F517="AUD",E517*$V$2,F517="CAD",E517*$V$3,F517="EUR",E517*$V$4,F517="GBP",E517*$V$5,F517="USD",E517*$V$6)</f>
        <v>6621.6539999999995</v>
      </c>
      <c r="M517" s="3" cm="1">
        <f t="array" ref="M517">_xlfn.IFS(G517="Paid", L517, G517="Partial", L517*0.5, G517="Open", 0)</f>
        <v>0</v>
      </c>
      <c r="N517" s="3" cm="1">
        <f t="array" ref="N517">_xlfn.IFS(G517="Open", L517, G517="Partial", L517*0.5, G517="Paid", 0)</f>
        <v>6621.6539999999995</v>
      </c>
    </row>
    <row r="518" spans="1:14" x14ac:dyDescent="0.25">
      <c r="A518" t="s">
        <v>522</v>
      </c>
      <c r="B518" t="s">
        <v>807</v>
      </c>
      <c r="C518" s="5">
        <v>45538</v>
      </c>
      <c r="D518" s="5">
        <v>45568</v>
      </c>
      <c r="E518" s="3">
        <v>2626.26</v>
      </c>
      <c r="F518" t="s">
        <v>812</v>
      </c>
      <c r="G518" t="s">
        <v>816</v>
      </c>
      <c r="H518" s="5" t="s">
        <v>825</v>
      </c>
      <c r="I518" s="7">
        <f t="shared" si="8"/>
        <v>538</v>
      </c>
      <c r="J518" s="13" t="str" cm="1">
        <f t="array" ref="J518">_xlfn.IFS(I518=0, "Settled", I518&lt;=30, "1-30", I518&lt;=90, "31-90", I518&lt;=365, "91-365", I518&gt;365, "1 Year+")</f>
        <v>1 Year+</v>
      </c>
      <c r="K518" t="s">
        <v>819</v>
      </c>
      <c r="L518" s="3" cm="1">
        <f t="array" ref="L518">_xlfn.IFS(F518="AUD",E518*$V$2,F518="CAD",E518*$V$3,F518="EUR",E518*$V$4,F518="GBP",E518*$V$5,F518="USD",E518*$V$6)</f>
        <v>3624.2388000000001</v>
      </c>
      <c r="M518" s="3" cm="1">
        <f t="array" ref="M518">_xlfn.IFS(G518="Paid", L518, G518="Partial", L518*0.5, G518="Open", 0)</f>
        <v>0</v>
      </c>
      <c r="N518" s="3" cm="1">
        <f t="array" ref="N518">_xlfn.IFS(G518="Open", L518, G518="Partial", L518*0.5, G518="Paid", 0)</f>
        <v>3624.2388000000001</v>
      </c>
    </row>
    <row r="519" spans="1:14" x14ac:dyDescent="0.25">
      <c r="A519" t="s">
        <v>523</v>
      </c>
      <c r="B519" t="s">
        <v>810</v>
      </c>
      <c r="C519" s="5">
        <v>45173</v>
      </c>
      <c r="D519" s="5">
        <v>45203</v>
      </c>
      <c r="E519" s="3">
        <v>1667.91</v>
      </c>
      <c r="F519" t="s">
        <v>812</v>
      </c>
      <c r="G519" t="s">
        <v>816</v>
      </c>
      <c r="H519" s="5" t="s">
        <v>825</v>
      </c>
      <c r="I519" s="7">
        <f t="shared" si="8"/>
        <v>903</v>
      </c>
      <c r="J519" s="13" t="str" cm="1">
        <f t="array" ref="J519">_xlfn.IFS(I519=0, "Settled", I519&lt;=30, "1-30", I519&lt;=90, "31-90", I519&lt;=365, "91-365", I519&gt;365, "1 Year+")</f>
        <v>1 Year+</v>
      </c>
      <c r="K519" t="s">
        <v>819</v>
      </c>
      <c r="L519" s="3" cm="1">
        <f t="array" ref="L519">_xlfn.IFS(F519="AUD",E519*$V$2,F519="CAD",E519*$V$3,F519="EUR",E519*$V$4,F519="GBP",E519*$V$5,F519="USD",E519*$V$6)</f>
        <v>2301.7157999999999</v>
      </c>
      <c r="M519" s="3" cm="1">
        <f t="array" ref="M519">_xlfn.IFS(G519="Paid", L519, G519="Partial", L519*0.5, G519="Open", 0)</f>
        <v>0</v>
      </c>
      <c r="N519" s="3" cm="1">
        <f t="array" ref="N519">_xlfn.IFS(G519="Open", L519, G519="Partial", L519*0.5, G519="Paid", 0)</f>
        <v>2301.7157999999999</v>
      </c>
    </row>
    <row r="520" spans="1:14" x14ac:dyDescent="0.25">
      <c r="A520" t="s">
        <v>524</v>
      </c>
      <c r="B520" t="s">
        <v>806</v>
      </c>
      <c r="C520" s="5">
        <v>45825</v>
      </c>
      <c r="D520" s="5">
        <v>45855</v>
      </c>
      <c r="E520" s="3">
        <v>556.64</v>
      </c>
      <c r="F520" t="s">
        <v>814</v>
      </c>
      <c r="G520" t="s">
        <v>817</v>
      </c>
      <c r="H520" s="5" t="s">
        <v>825</v>
      </c>
      <c r="I520" s="7">
        <f t="shared" si="8"/>
        <v>251</v>
      </c>
      <c r="J520" s="13" t="str" cm="1">
        <f t="array" ref="J520">_xlfn.IFS(I520=0, "Settled", I520&lt;=30, "1-30", I520&lt;=90, "31-90", I520&lt;=365, "91-365", I520&gt;365, "1 Year+")</f>
        <v>91-365</v>
      </c>
      <c r="K520" t="s">
        <v>819</v>
      </c>
      <c r="L520" s="3" cm="1">
        <f t="array" ref="L520">_xlfn.IFS(F520="AUD",E520*$V$2,F520="CAD",E520*$V$3,F520="EUR",E520*$V$4,F520="GBP",E520*$V$5,F520="USD",E520*$V$6)</f>
        <v>556.64</v>
      </c>
      <c r="M520" s="3" cm="1">
        <f t="array" ref="M520">_xlfn.IFS(G520="Paid", L520, G520="Partial", L520*0.5, G520="Open", 0)</f>
        <v>278.32</v>
      </c>
      <c r="N520" s="3" cm="1">
        <f t="array" ref="N520">_xlfn.IFS(G520="Open", L520, G520="Partial", L520*0.5, G520="Paid", 0)</f>
        <v>278.32</v>
      </c>
    </row>
    <row r="521" spans="1:14" x14ac:dyDescent="0.25">
      <c r="A521" t="s">
        <v>525</v>
      </c>
      <c r="B521" t="s">
        <v>809</v>
      </c>
      <c r="C521" s="5">
        <v>45671</v>
      </c>
      <c r="D521" s="5">
        <v>45701</v>
      </c>
      <c r="E521" s="3">
        <v>2084.02</v>
      </c>
      <c r="F521" t="s">
        <v>811</v>
      </c>
      <c r="G521" t="s">
        <v>817</v>
      </c>
      <c r="H521" s="5" t="s">
        <v>825</v>
      </c>
      <c r="I521" s="7">
        <f t="shared" si="8"/>
        <v>405</v>
      </c>
      <c r="J521" s="13" t="str" cm="1">
        <f t="array" ref="J521">_xlfn.IFS(I521=0, "Settled", I521&lt;=30, "1-30", I521&lt;=90, "31-90", I521&lt;=365, "91-365", I521&gt;365, "1 Year+")</f>
        <v>1 Year+</v>
      </c>
      <c r="K521" t="s">
        <v>819</v>
      </c>
      <c r="L521" s="3" cm="1">
        <f t="array" ref="L521">_xlfn.IFS(F521="AUD",E521*$V$2,F521="CAD",E521*$V$3,F521="EUR",E521*$V$4,F521="GBP",E521*$V$5,F521="USD",E521*$V$6)</f>
        <v>1792.2572</v>
      </c>
      <c r="M521" s="3" cm="1">
        <f t="array" ref="M521">_xlfn.IFS(G521="Paid", L521, G521="Partial", L521*0.5, G521="Open", 0)</f>
        <v>896.12860000000001</v>
      </c>
      <c r="N521" s="3" cm="1">
        <f t="array" ref="N521">_xlfn.IFS(G521="Open", L521, G521="Partial", L521*0.5, G521="Paid", 0)</f>
        <v>896.12860000000001</v>
      </c>
    </row>
    <row r="522" spans="1:14" x14ac:dyDescent="0.25">
      <c r="A522" t="s">
        <v>526</v>
      </c>
      <c r="B522" t="s">
        <v>810</v>
      </c>
      <c r="C522" s="5">
        <v>45348</v>
      </c>
      <c r="D522" s="5">
        <v>45378</v>
      </c>
      <c r="E522" s="3">
        <v>1225.05</v>
      </c>
      <c r="F522" t="s">
        <v>813</v>
      </c>
      <c r="G522" t="s">
        <v>817</v>
      </c>
      <c r="H522" s="5" t="s">
        <v>825</v>
      </c>
      <c r="I522" s="7">
        <f t="shared" si="8"/>
        <v>728</v>
      </c>
      <c r="J522" s="13" t="str" cm="1">
        <f t="array" ref="J522">_xlfn.IFS(I522=0, "Settled", I522&lt;=30, "1-30", I522&lt;=90, "31-90", I522&lt;=365, "91-365", I522&gt;365, "1 Year+")</f>
        <v>1 Year+</v>
      </c>
      <c r="K522" t="s">
        <v>819</v>
      </c>
      <c r="L522" s="3" cm="1">
        <f t="array" ref="L522">_xlfn.IFS(F522="AUD",E522*$V$2,F522="CAD",E522*$V$3,F522="EUR",E522*$V$4,F522="GBP",E522*$V$5,F522="USD",E522*$V$6)</f>
        <v>918.78749999999991</v>
      </c>
      <c r="M522" s="3" cm="1">
        <f t="array" ref="M522">_xlfn.IFS(G522="Paid", L522, G522="Partial", L522*0.5, G522="Open", 0)</f>
        <v>459.39374999999995</v>
      </c>
      <c r="N522" s="3" cm="1">
        <f t="array" ref="N522">_xlfn.IFS(G522="Open", L522, G522="Partial", L522*0.5, G522="Paid", 0)</f>
        <v>459.39374999999995</v>
      </c>
    </row>
    <row r="523" spans="1:14" x14ac:dyDescent="0.25">
      <c r="A523" t="s">
        <v>527</v>
      </c>
      <c r="B523" t="s">
        <v>807</v>
      </c>
      <c r="C523" s="5">
        <v>44937</v>
      </c>
      <c r="D523" s="5">
        <v>44967</v>
      </c>
      <c r="E523" s="3">
        <v>1607.66</v>
      </c>
      <c r="F523" t="s">
        <v>815</v>
      </c>
      <c r="G523" t="s">
        <v>817</v>
      </c>
      <c r="H523" s="5" t="s">
        <v>825</v>
      </c>
      <c r="I523" s="7">
        <f t="shared" si="8"/>
        <v>1139</v>
      </c>
      <c r="J523" s="13" t="str" cm="1">
        <f t="array" ref="J523">_xlfn.IFS(I523=0, "Settled", I523&lt;=30, "1-30", I523&lt;=90, "31-90", I523&lt;=365, "91-365", I523&gt;365, "1 Year+")</f>
        <v>1 Year+</v>
      </c>
      <c r="K523" t="s">
        <v>819</v>
      </c>
      <c r="L523" s="3" cm="1">
        <f t="array" ref="L523">_xlfn.IFS(F523="AUD",E523*$V$2,F523="CAD",E523*$V$3,F523="EUR",E523*$V$4,F523="GBP",E523*$V$5,F523="USD",E523*$V$6)</f>
        <v>2331.107</v>
      </c>
      <c r="M523" s="3" cm="1">
        <f t="array" ref="M523">_xlfn.IFS(G523="Paid", L523, G523="Partial", L523*0.5, G523="Open", 0)</f>
        <v>1165.5535</v>
      </c>
      <c r="N523" s="3" cm="1">
        <f t="array" ref="N523">_xlfn.IFS(G523="Open", L523, G523="Partial", L523*0.5, G523="Paid", 0)</f>
        <v>1165.5535</v>
      </c>
    </row>
    <row r="524" spans="1:14" x14ac:dyDescent="0.25">
      <c r="A524" t="s">
        <v>528</v>
      </c>
      <c r="B524" t="s">
        <v>806</v>
      </c>
      <c r="C524" s="5">
        <v>45452</v>
      </c>
      <c r="D524" s="5">
        <v>45482</v>
      </c>
      <c r="E524" s="3">
        <v>2772.97</v>
      </c>
      <c r="F524" t="s">
        <v>813</v>
      </c>
      <c r="G524" t="s">
        <v>818</v>
      </c>
      <c r="H524" s="5">
        <v>45482</v>
      </c>
      <c r="I524" s="7">
        <f t="shared" si="8"/>
        <v>0</v>
      </c>
      <c r="J524" s="13" t="str" cm="1">
        <f t="array" ref="J524">_xlfn.IFS(I524=0, "Settled", I524&lt;=30, "1-30", I524&lt;=90, "31-90", I524&lt;=365, "91-365", I524&gt;365, "1 Year+")</f>
        <v>Settled</v>
      </c>
      <c r="K524" t="s">
        <v>819</v>
      </c>
      <c r="L524" s="3" cm="1">
        <f t="array" ref="L524">_xlfn.IFS(F524="AUD",E524*$V$2,F524="CAD",E524*$V$3,F524="EUR",E524*$V$4,F524="GBP",E524*$V$5,F524="USD",E524*$V$6)</f>
        <v>2079.7275</v>
      </c>
      <c r="M524" s="3" cm="1">
        <f t="array" ref="M524">_xlfn.IFS(G524="Paid", L524, G524="Partial", L524*0.5, G524="Open", 0)</f>
        <v>2079.7275</v>
      </c>
      <c r="N524" s="3" cm="1">
        <f t="array" ref="N524">_xlfn.IFS(G524="Open", L524, G524="Partial", L524*0.5, G524="Paid", 0)</f>
        <v>0</v>
      </c>
    </row>
    <row r="525" spans="1:14" x14ac:dyDescent="0.25">
      <c r="A525" t="s">
        <v>529</v>
      </c>
      <c r="B525" t="s">
        <v>809</v>
      </c>
      <c r="C525" s="5">
        <v>45596</v>
      </c>
      <c r="D525" s="5">
        <v>45626</v>
      </c>
      <c r="E525" s="3">
        <v>1641.38</v>
      </c>
      <c r="F525" t="s">
        <v>815</v>
      </c>
      <c r="G525" t="s">
        <v>817</v>
      </c>
      <c r="H525" s="5" t="s">
        <v>825</v>
      </c>
      <c r="I525" s="7">
        <f t="shared" si="8"/>
        <v>480</v>
      </c>
      <c r="J525" s="13" t="str" cm="1">
        <f t="array" ref="J525">_xlfn.IFS(I525=0, "Settled", I525&lt;=30, "1-30", I525&lt;=90, "31-90", I525&lt;=365, "91-365", I525&gt;365, "1 Year+")</f>
        <v>1 Year+</v>
      </c>
      <c r="K525" t="s">
        <v>819</v>
      </c>
      <c r="L525" s="3" cm="1">
        <f t="array" ref="L525">_xlfn.IFS(F525="AUD",E525*$V$2,F525="CAD",E525*$V$3,F525="EUR",E525*$V$4,F525="GBP",E525*$V$5,F525="USD",E525*$V$6)</f>
        <v>2380.0010000000002</v>
      </c>
      <c r="M525" s="3" cm="1">
        <f t="array" ref="M525">_xlfn.IFS(G525="Paid", L525, G525="Partial", L525*0.5, G525="Open", 0)</f>
        <v>1190.0005000000001</v>
      </c>
      <c r="N525" s="3" cm="1">
        <f t="array" ref="N525">_xlfn.IFS(G525="Open", L525, G525="Partial", L525*0.5, G525="Paid", 0)</f>
        <v>1190.0005000000001</v>
      </c>
    </row>
    <row r="526" spans="1:14" x14ac:dyDescent="0.25">
      <c r="A526" t="s">
        <v>530</v>
      </c>
      <c r="B526" t="s">
        <v>808</v>
      </c>
      <c r="C526" s="5">
        <v>45539</v>
      </c>
      <c r="D526" s="5">
        <v>45569</v>
      </c>
      <c r="E526" s="3">
        <v>549.14</v>
      </c>
      <c r="F526" t="s">
        <v>815</v>
      </c>
      <c r="G526" t="s">
        <v>818</v>
      </c>
      <c r="H526" s="5">
        <v>45569</v>
      </c>
      <c r="I526" s="7">
        <f t="shared" si="8"/>
        <v>0</v>
      </c>
      <c r="J526" s="13" t="str" cm="1">
        <f t="array" ref="J526">_xlfn.IFS(I526=0, "Settled", I526&lt;=30, "1-30", I526&lt;=90, "31-90", I526&lt;=365, "91-365", I526&gt;365, "1 Year+")</f>
        <v>Settled</v>
      </c>
      <c r="K526" t="s">
        <v>819</v>
      </c>
      <c r="L526" s="3" cm="1">
        <f t="array" ref="L526">_xlfn.IFS(F526="AUD",E526*$V$2,F526="CAD",E526*$V$3,F526="EUR",E526*$V$4,F526="GBP",E526*$V$5,F526="USD",E526*$V$6)</f>
        <v>796.25299999999993</v>
      </c>
      <c r="M526" s="3" cm="1">
        <f t="array" ref="M526">_xlfn.IFS(G526="Paid", L526, G526="Partial", L526*0.5, G526="Open", 0)</f>
        <v>796.25299999999993</v>
      </c>
      <c r="N526" s="3" cm="1">
        <f t="array" ref="N526">_xlfn.IFS(G526="Open", L526, G526="Partial", L526*0.5, G526="Paid", 0)</f>
        <v>0</v>
      </c>
    </row>
    <row r="527" spans="1:14" x14ac:dyDescent="0.25">
      <c r="A527" t="s">
        <v>531</v>
      </c>
      <c r="B527" t="s">
        <v>810</v>
      </c>
      <c r="C527" s="5">
        <v>45558</v>
      </c>
      <c r="D527" s="5">
        <v>45588</v>
      </c>
      <c r="E527" s="3">
        <v>3700.73</v>
      </c>
      <c r="F527" t="s">
        <v>813</v>
      </c>
      <c r="G527" t="s">
        <v>816</v>
      </c>
      <c r="H527" s="5" t="s">
        <v>825</v>
      </c>
      <c r="I527" s="7">
        <f t="shared" si="8"/>
        <v>518</v>
      </c>
      <c r="J527" s="13" t="str" cm="1">
        <f t="array" ref="J527">_xlfn.IFS(I527=0, "Settled", I527&lt;=30, "1-30", I527&lt;=90, "31-90", I527&lt;=365, "91-365", I527&gt;365, "1 Year+")</f>
        <v>1 Year+</v>
      </c>
      <c r="K527" t="s">
        <v>819</v>
      </c>
      <c r="L527" s="3" cm="1">
        <f t="array" ref="L527">_xlfn.IFS(F527="AUD",E527*$V$2,F527="CAD",E527*$V$3,F527="EUR",E527*$V$4,F527="GBP",E527*$V$5,F527="USD",E527*$V$6)</f>
        <v>2775.5475000000001</v>
      </c>
      <c r="M527" s="3" cm="1">
        <f t="array" ref="M527">_xlfn.IFS(G527="Paid", L527, G527="Partial", L527*0.5, G527="Open", 0)</f>
        <v>0</v>
      </c>
      <c r="N527" s="3" cm="1">
        <f t="array" ref="N527">_xlfn.IFS(G527="Open", L527, G527="Partial", L527*0.5, G527="Paid", 0)</f>
        <v>2775.5475000000001</v>
      </c>
    </row>
    <row r="528" spans="1:14" x14ac:dyDescent="0.25">
      <c r="A528" t="s">
        <v>532</v>
      </c>
      <c r="B528" t="s">
        <v>810</v>
      </c>
      <c r="C528" s="5">
        <v>45315</v>
      </c>
      <c r="D528" s="5">
        <v>45345</v>
      </c>
      <c r="E528" s="3">
        <v>1616.2</v>
      </c>
      <c r="F528" t="s">
        <v>812</v>
      </c>
      <c r="G528" t="s">
        <v>817</v>
      </c>
      <c r="H528" s="5" t="s">
        <v>825</v>
      </c>
      <c r="I528" s="7">
        <f t="shared" si="8"/>
        <v>761</v>
      </c>
      <c r="J528" s="13" t="str" cm="1">
        <f t="array" ref="J528">_xlfn.IFS(I528=0, "Settled", I528&lt;=30, "1-30", I528&lt;=90, "31-90", I528&lt;=365, "91-365", I528&gt;365, "1 Year+")</f>
        <v>1 Year+</v>
      </c>
      <c r="K528" t="s">
        <v>819</v>
      </c>
      <c r="L528" s="3" cm="1">
        <f t="array" ref="L528">_xlfn.IFS(F528="AUD",E528*$V$2,F528="CAD",E528*$V$3,F528="EUR",E528*$V$4,F528="GBP",E528*$V$5,F528="USD",E528*$V$6)</f>
        <v>2230.3559999999998</v>
      </c>
      <c r="M528" s="3" cm="1">
        <f t="array" ref="M528">_xlfn.IFS(G528="Paid", L528, G528="Partial", L528*0.5, G528="Open", 0)</f>
        <v>1115.1779999999999</v>
      </c>
      <c r="N528" s="3" cm="1">
        <f t="array" ref="N528">_xlfn.IFS(G528="Open", L528, G528="Partial", L528*0.5, G528="Paid", 0)</f>
        <v>1115.1779999999999</v>
      </c>
    </row>
    <row r="529" spans="1:14" x14ac:dyDescent="0.25">
      <c r="A529" t="s">
        <v>533</v>
      </c>
      <c r="B529" t="s">
        <v>806</v>
      </c>
      <c r="C529" s="5">
        <v>45718</v>
      </c>
      <c r="D529" s="5">
        <v>45748</v>
      </c>
      <c r="E529" s="3">
        <v>233.75</v>
      </c>
      <c r="F529" t="s">
        <v>811</v>
      </c>
      <c r="G529" t="s">
        <v>817</v>
      </c>
      <c r="H529" s="5" t="s">
        <v>825</v>
      </c>
      <c r="I529" s="7">
        <f t="shared" si="8"/>
        <v>358</v>
      </c>
      <c r="J529" s="13" t="str" cm="1">
        <f t="array" ref="J529">_xlfn.IFS(I529=0, "Settled", I529&lt;=30, "1-30", I529&lt;=90, "31-90", I529&lt;=365, "91-365", I529&gt;365, "1 Year+")</f>
        <v>91-365</v>
      </c>
      <c r="K529" t="s">
        <v>819</v>
      </c>
      <c r="L529" s="3" cm="1">
        <f t="array" ref="L529">_xlfn.IFS(F529="AUD",E529*$V$2,F529="CAD",E529*$V$3,F529="EUR",E529*$V$4,F529="GBP",E529*$V$5,F529="USD",E529*$V$6)</f>
        <v>201.02500000000001</v>
      </c>
      <c r="M529" s="3" cm="1">
        <f t="array" ref="M529">_xlfn.IFS(G529="Paid", L529, G529="Partial", L529*0.5, G529="Open", 0)</f>
        <v>100.5125</v>
      </c>
      <c r="N529" s="3" cm="1">
        <f t="array" ref="N529">_xlfn.IFS(G529="Open", L529, G529="Partial", L529*0.5, G529="Paid", 0)</f>
        <v>100.5125</v>
      </c>
    </row>
    <row r="530" spans="1:14" x14ac:dyDescent="0.25">
      <c r="A530" t="s">
        <v>534</v>
      </c>
      <c r="B530" t="s">
        <v>806</v>
      </c>
      <c r="C530" s="5">
        <v>45581</v>
      </c>
      <c r="D530" s="5">
        <v>45611</v>
      </c>
      <c r="E530" s="3">
        <v>1198.76</v>
      </c>
      <c r="F530" t="s">
        <v>815</v>
      </c>
      <c r="G530" t="s">
        <v>817</v>
      </c>
      <c r="H530" s="5" t="s">
        <v>825</v>
      </c>
      <c r="I530" s="7">
        <f t="shared" si="8"/>
        <v>495</v>
      </c>
      <c r="J530" s="13" t="str" cm="1">
        <f t="array" ref="J530">_xlfn.IFS(I530=0, "Settled", I530&lt;=30, "1-30", I530&lt;=90, "31-90", I530&lt;=365, "91-365", I530&gt;365, "1 Year+")</f>
        <v>1 Year+</v>
      </c>
      <c r="K530" t="s">
        <v>819</v>
      </c>
      <c r="L530" s="3" cm="1">
        <f t="array" ref="L530">_xlfn.IFS(F530="AUD",E530*$V$2,F530="CAD",E530*$V$3,F530="EUR",E530*$V$4,F530="GBP",E530*$V$5,F530="USD",E530*$V$6)</f>
        <v>1738.202</v>
      </c>
      <c r="M530" s="3" cm="1">
        <f t="array" ref="M530">_xlfn.IFS(G530="Paid", L530, G530="Partial", L530*0.5, G530="Open", 0)</f>
        <v>869.101</v>
      </c>
      <c r="N530" s="3" cm="1">
        <f t="array" ref="N530">_xlfn.IFS(G530="Open", L530, G530="Partial", L530*0.5, G530="Paid", 0)</f>
        <v>869.101</v>
      </c>
    </row>
    <row r="531" spans="1:14" x14ac:dyDescent="0.25">
      <c r="A531" t="s">
        <v>535</v>
      </c>
      <c r="B531" t="s">
        <v>810</v>
      </c>
      <c r="C531" s="5">
        <v>45826</v>
      </c>
      <c r="D531" s="5">
        <v>45856</v>
      </c>
      <c r="E531" s="3">
        <v>1819.59</v>
      </c>
      <c r="F531" t="s">
        <v>813</v>
      </c>
      <c r="G531" t="s">
        <v>817</v>
      </c>
      <c r="H531" s="5" t="s">
        <v>825</v>
      </c>
      <c r="I531" s="7">
        <f t="shared" si="8"/>
        <v>250</v>
      </c>
      <c r="J531" s="13" t="str" cm="1">
        <f t="array" ref="J531">_xlfn.IFS(I531=0, "Settled", I531&lt;=30, "1-30", I531&lt;=90, "31-90", I531&lt;=365, "91-365", I531&gt;365, "1 Year+")</f>
        <v>91-365</v>
      </c>
      <c r="K531" t="s">
        <v>819</v>
      </c>
      <c r="L531" s="3" cm="1">
        <f t="array" ref="L531">_xlfn.IFS(F531="AUD",E531*$V$2,F531="CAD",E531*$V$3,F531="EUR",E531*$V$4,F531="GBP",E531*$V$5,F531="USD",E531*$V$6)</f>
        <v>1364.6924999999999</v>
      </c>
      <c r="M531" s="3" cm="1">
        <f t="array" ref="M531">_xlfn.IFS(G531="Paid", L531, G531="Partial", L531*0.5, G531="Open", 0)</f>
        <v>682.34624999999994</v>
      </c>
      <c r="N531" s="3" cm="1">
        <f t="array" ref="N531">_xlfn.IFS(G531="Open", L531, G531="Partial", L531*0.5, G531="Paid", 0)</f>
        <v>682.34624999999994</v>
      </c>
    </row>
    <row r="532" spans="1:14" x14ac:dyDescent="0.25">
      <c r="A532" t="s">
        <v>536</v>
      </c>
      <c r="B532" t="s">
        <v>810</v>
      </c>
      <c r="C532" s="5">
        <v>45690</v>
      </c>
      <c r="D532" s="5">
        <v>45720</v>
      </c>
      <c r="E532" s="3">
        <v>3747.3</v>
      </c>
      <c r="F532" t="s">
        <v>812</v>
      </c>
      <c r="G532" t="s">
        <v>818</v>
      </c>
      <c r="H532" s="5">
        <v>45720</v>
      </c>
      <c r="I532" s="7">
        <f t="shared" si="8"/>
        <v>0</v>
      </c>
      <c r="J532" s="13" t="str" cm="1">
        <f t="array" ref="J532">_xlfn.IFS(I532=0, "Settled", I532&lt;=30, "1-30", I532&lt;=90, "31-90", I532&lt;=365, "91-365", I532&gt;365, "1 Year+")</f>
        <v>Settled</v>
      </c>
      <c r="K532" t="s">
        <v>819</v>
      </c>
      <c r="L532" s="3" cm="1">
        <f t="array" ref="L532">_xlfn.IFS(F532="AUD",E532*$V$2,F532="CAD",E532*$V$3,F532="EUR",E532*$V$4,F532="GBP",E532*$V$5,F532="USD",E532*$V$6)</f>
        <v>5171.2739999999994</v>
      </c>
      <c r="M532" s="3" cm="1">
        <f t="array" ref="M532">_xlfn.IFS(G532="Paid", L532, G532="Partial", L532*0.5, G532="Open", 0)</f>
        <v>5171.2739999999994</v>
      </c>
      <c r="N532" s="3" cm="1">
        <f t="array" ref="N532">_xlfn.IFS(G532="Open", L532, G532="Partial", L532*0.5, G532="Paid", 0)</f>
        <v>0</v>
      </c>
    </row>
    <row r="533" spans="1:14" x14ac:dyDescent="0.25">
      <c r="A533" t="s">
        <v>537</v>
      </c>
      <c r="B533" t="s">
        <v>807</v>
      </c>
      <c r="C533" s="5">
        <v>45154</v>
      </c>
      <c r="D533" s="5">
        <v>45184</v>
      </c>
      <c r="E533" s="3">
        <v>4706.8100000000004</v>
      </c>
      <c r="F533" t="s">
        <v>811</v>
      </c>
      <c r="G533" t="s">
        <v>818</v>
      </c>
      <c r="H533" s="5">
        <v>45184</v>
      </c>
      <c r="I533" s="7">
        <f t="shared" si="8"/>
        <v>0</v>
      </c>
      <c r="J533" s="13" t="str" cm="1">
        <f t="array" ref="J533">_xlfn.IFS(I533=0, "Settled", I533&lt;=30, "1-30", I533&lt;=90, "31-90", I533&lt;=365, "91-365", I533&gt;365, "1 Year+")</f>
        <v>Settled</v>
      </c>
      <c r="K533" t="s">
        <v>819</v>
      </c>
      <c r="L533" s="3" cm="1">
        <f t="array" ref="L533">_xlfn.IFS(F533="AUD",E533*$V$2,F533="CAD",E533*$V$3,F533="EUR",E533*$V$4,F533="GBP",E533*$V$5,F533="USD",E533*$V$6)</f>
        <v>4047.8566000000001</v>
      </c>
      <c r="M533" s="3" cm="1">
        <f t="array" ref="M533">_xlfn.IFS(G533="Paid", L533, G533="Partial", L533*0.5, G533="Open", 0)</f>
        <v>4047.8566000000001</v>
      </c>
      <c r="N533" s="3" cm="1">
        <f t="array" ref="N533">_xlfn.IFS(G533="Open", L533, G533="Partial", L533*0.5, G533="Paid", 0)</f>
        <v>0</v>
      </c>
    </row>
    <row r="534" spans="1:14" x14ac:dyDescent="0.25">
      <c r="A534" t="s">
        <v>538</v>
      </c>
      <c r="B534" t="s">
        <v>809</v>
      </c>
      <c r="C534" s="5">
        <v>45782</v>
      </c>
      <c r="D534" s="5">
        <v>45812</v>
      </c>
      <c r="E534" s="3">
        <v>2329.4299999999998</v>
      </c>
      <c r="F534" t="s">
        <v>812</v>
      </c>
      <c r="G534" t="s">
        <v>817</v>
      </c>
      <c r="H534" s="5" t="s">
        <v>825</v>
      </c>
      <c r="I534" s="7">
        <f t="shared" si="8"/>
        <v>294</v>
      </c>
      <c r="J534" s="13" t="str" cm="1">
        <f t="array" ref="J534">_xlfn.IFS(I534=0, "Settled", I534&lt;=30, "1-30", I534&lt;=90, "31-90", I534&lt;=365, "91-365", I534&gt;365, "1 Year+")</f>
        <v>91-365</v>
      </c>
      <c r="K534" t="s">
        <v>819</v>
      </c>
      <c r="L534" s="3" cm="1">
        <f t="array" ref="L534">_xlfn.IFS(F534="AUD",E534*$V$2,F534="CAD",E534*$V$3,F534="EUR",E534*$V$4,F534="GBP",E534*$V$5,F534="USD",E534*$V$6)</f>
        <v>3214.6133999999997</v>
      </c>
      <c r="M534" s="3" cm="1">
        <f t="array" ref="M534">_xlfn.IFS(G534="Paid", L534, G534="Partial", L534*0.5, G534="Open", 0)</f>
        <v>1607.3066999999999</v>
      </c>
      <c r="N534" s="3" cm="1">
        <f t="array" ref="N534">_xlfn.IFS(G534="Open", L534, G534="Partial", L534*0.5, G534="Paid", 0)</f>
        <v>1607.3066999999999</v>
      </c>
    </row>
    <row r="535" spans="1:14" x14ac:dyDescent="0.25">
      <c r="A535" t="s">
        <v>539</v>
      </c>
      <c r="B535" t="s">
        <v>808</v>
      </c>
      <c r="C535" s="5">
        <v>45516</v>
      </c>
      <c r="D535" s="5">
        <v>45546</v>
      </c>
      <c r="E535" s="3">
        <v>3499.14</v>
      </c>
      <c r="F535" t="s">
        <v>813</v>
      </c>
      <c r="G535" t="s">
        <v>817</v>
      </c>
      <c r="H535" s="5" t="s">
        <v>825</v>
      </c>
      <c r="I535" s="7">
        <f t="shared" si="8"/>
        <v>560</v>
      </c>
      <c r="J535" s="13" t="str" cm="1">
        <f t="array" ref="J535">_xlfn.IFS(I535=0, "Settled", I535&lt;=30, "1-30", I535&lt;=90, "31-90", I535&lt;=365, "91-365", I535&gt;365, "1 Year+")</f>
        <v>1 Year+</v>
      </c>
      <c r="K535" t="s">
        <v>819</v>
      </c>
      <c r="L535" s="3" cm="1">
        <f t="array" ref="L535">_xlfn.IFS(F535="AUD",E535*$V$2,F535="CAD",E535*$V$3,F535="EUR",E535*$V$4,F535="GBP",E535*$V$5,F535="USD",E535*$V$6)</f>
        <v>2624.355</v>
      </c>
      <c r="M535" s="3" cm="1">
        <f t="array" ref="M535">_xlfn.IFS(G535="Paid", L535, G535="Partial", L535*0.5, G535="Open", 0)</f>
        <v>1312.1775</v>
      </c>
      <c r="N535" s="3" cm="1">
        <f t="array" ref="N535">_xlfn.IFS(G535="Open", L535, G535="Partial", L535*0.5, G535="Paid", 0)</f>
        <v>1312.1775</v>
      </c>
    </row>
    <row r="536" spans="1:14" x14ac:dyDescent="0.25">
      <c r="A536" t="s">
        <v>540</v>
      </c>
      <c r="B536" t="s">
        <v>809</v>
      </c>
      <c r="C536" s="5">
        <v>45146</v>
      </c>
      <c r="D536" s="5">
        <v>45176</v>
      </c>
      <c r="E536" s="3">
        <v>3732.67</v>
      </c>
      <c r="F536" t="s">
        <v>813</v>
      </c>
      <c r="G536" t="s">
        <v>818</v>
      </c>
      <c r="H536" s="5">
        <v>45176</v>
      </c>
      <c r="I536" s="7">
        <f t="shared" si="8"/>
        <v>0</v>
      </c>
      <c r="J536" s="13" t="str" cm="1">
        <f t="array" ref="J536">_xlfn.IFS(I536=0, "Settled", I536&lt;=30, "1-30", I536&lt;=90, "31-90", I536&lt;=365, "91-365", I536&gt;365, "1 Year+")</f>
        <v>Settled</v>
      </c>
      <c r="K536" t="s">
        <v>819</v>
      </c>
      <c r="L536" s="3" cm="1">
        <f t="array" ref="L536">_xlfn.IFS(F536="AUD",E536*$V$2,F536="CAD",E536*$V$3,F536="EUR",E536*$V$4,F536="GBP",E536*$V$5,F536="USD",E536*$V$6)</f>
        <v>2799.5025000000001</v>
      </c>
      <c r="M536" s="3" cm="1">
        <f t="array" ref="M536">_xlfn.IFS(G536="Paid", L536, G536="Partial", L536*0.5, G536="Open", 0)</f>
        <v>2799.5025000000001</v>
      </c>
      <c r="N536" s="3" cm="1">
        <f t="array" ref="N536">_xlfn.IFS(G536="Open", L536, G536="Partial", L536*0.5, G536="Paid", 0)</f>
        <v>0</v>
      </c>
    </row>
    <row r="537" spans="1:14" x14ac:dyDescent="0.25">
      <c r="A537" t="s">
        <v>541</v>
      </c>
      <c r="B537" t="s">
        <v>809</v>
      </c>
      <c r="C537" s="5">
        <v>45542</v>
      </c>
      <c r="D537" s="5">
        <v>45572</v>
      </c>
      <c r="E537" s="3">
        <v>365.59</v>
      </c>
      <c r="F537" t="s">
        <v>812</v>
      </c>
      <c r="G537" t="s">
        <v>816</v>
      </c>
      <c r="H537" s="5" t="s">
        <v>825</v>
      </c>
      <c r="I537" s="7">
        <f t="shared" si="8"/>
        <v>534</v>
      </c>
      <c r="J537" s="13" t="str" cm="1">
        <f t="array" ref="J537">_xlfn.IFS(I537=0, "Settled", I537&lt;=30, "1-30", I537&lt;=90, "31-90", I537&lt;=365, "91-365", I537&gt;365, "1 Year+")</f>
        <v>1 Year+</v>
      </c>
      <c r="K537" t="s">
        <v>819</v>
      </c>
      <c r="L537" s="3" cm="1">
        <f t="array" ref="L537">_xlfn.IFS(F537="AUD",E537*$V$2,F537="CAD",E537*$V$3,F537="EUR",E537*$V$4,F537="GBP",E537*$V$5,F537="USD",E537*$V$6)</f>
        <v>504.5141999999999</v>
      </c>
      <c r="M537" s="3" cm="1">
        <f t="array" ref="M537">_xlfn.IFS(G537="Paid", L537, G537="Partial", L537*0.5, G537="Open", 0)</f>
        <v>0</v>
      </c>
      <c r="N537" s="3" cm="1">
        <f t="array" ref="N537">_xlfn.IFS(G537="Open", L537, G537="Partial", L537*0.5, G537="Paid", 0)</f>
        <v>504.5141999999999</v>
      </c>
    </row>
    <row r="538" spans="1:14" x14ac:dyDescent="0.25">
      <c r="A538" t="s">
        <v>542</v>
      </c>
      <c r="B538" t="s">
        <v>810</v>
      </c>
      <c r="C538" s="5">
        <v>45383</v>
      </c>
      <c r="D538" s="5">
        <v>45413</v>
      </c>
      <c r="E538" s="3">
        <v>3778.67</v>
      </c>
      <c r="F538" t="s">
        <v>811</v>
      </c>
      <c r="G538" t="s">
        <v>816</v>
      </c>
      <c r="H538" s="5" t="s">
        <v>825</v>
      </c>
      <c r="I538" s="7">
        <f t="shared" si="8"/>
        <v>693</v>
      </c>
      <c r="J538" s="13" t="str" cm="1">
        <f t="array" ref="J538">_xlfn.IFS(I538=0, "Settled", I538&lt;=30, "1-30", I538&lt;=90, "31-90", I538&lt;=365, "91-365", I538&gt;365, "1 Year+")</f>
        <v>1 Year+</v>
      </c>
      <c r="K538" t="s">
        <v>819</v>
      </c>
      <c r="L538" s="3" cm="1">
        <f t="array" ref="L538">_xlfn.IFS(F538="AUD",E538*$V$2,F538="CAD",E538*$V$3,F538="EUR",E538*$V$4,F538="GBP",E538*$V$5,F538="USD",E538*$V$6)</f>
        <v>3249.6561999999999</v>
      </c>
      <c r="M538" s="3" cm="1">
        <f t="array" ref="M538">_xlfn.IFS(G538="Paid", L538, G538="Partial", L538*0.5, G538="Open", 0)</f>
        <v>0</v>
      </c>
      <c r="N538" s="3" cm="1">
        <f t="array" ref="N538">_xlfn.IFS(G538="Open", L538, G538="Partial", L538*0.5, G538="Paid", 0)</f>
        <v>3249.6561999999999</v>
      </c>
    </row>
    <row r="539" spans="1:14" x14ac:dyDescent="0.25">
      <c r="A539" t="s">
        <v>543</v>
      </c>
      <c r="B539" t="s">
        <v>808</v>
      </c>
      <c r="C539" s="5">
        <v>45397</v>
      </c>
      <c r="D539" s="5">
        <v>45427</v>
      </c>
      <c r="E539" s="3">
        <v>4324.6400000000003</v>
      </c>
      <c r="F539" t="s">
        <v>811</v>
      </c>
      <c r="G539" t="s">
        <v>817</v>
      </c>
      <c r="H539" s="5" t="s">
        <v>825</v>
      </c>
      <c r="I539" s="7">
        <f t="shared" si="8"/>
        <v>679</v>
      </c>
      <c r="J539" s="13" t="str" cm="1">
        <f t="array" ref="J539">_xlfn.IFS(I539=0, "Settled", I539&lt;=30, "1-30", I539&lt;=90, "31-90", I539&lt;=365, "91-365", I539&gt;365, "1 Year+")</f>
        <v>1 Year+</v>
      </c>
      <c r="K539" t="s">
        <v>819</v>
      </c>
      <c r="L539" s="3" cm="1">
        <f t="array" ref="L539">_xlfn.IFS(F539="AUD",E539*$V$2,F539="CAD",E539*$V$3,F539="EUR",E539*$V$4,F539="GBP",E539*$V$5,F539="USD",E539*$V$6)</f>
        <v>3719.1904000000004</v>
      </c>
      <c r="M539" s="3" cm="1">
        <f t="array" ref="M539">_xlfn.IFS(G539="Paid", L539, G539="Partial", L539*0.5, G539="Open", 0)</f>
        <v>1859.5952000000002</v>
      </c>
      <c r="N539" s="3" cm="1">
        <f t="array" ref="N539">_xlfn.IFS(G539="Open", L539, G539="Partial", L539*0.5, G539="Paid", 0)</f>
        <v>1859.5952000000002</v>
      </c>
    </row>
    <row r="540" spans="1:14" x14ac:dyDescent="0.25">
      <c r="A540" t="s">
        <v>544</v>
      </c>
      <c r="B540" t="s">
        <v>810</v>
      </c>
      <c r="C540" s="5">
        <v>45500</v>
      </c>
      <c r="D540" s="5">
        <v>45530</v>
      </c>
      <c r="E540" s="3">
        <v>3648.16</v>
      </c>
      <c r="F540" t="s">
        <v>812</v>
      </c>
      <c r="G540" t="s">
        <v>818</v>
      </c>
      <c r="H540" s="5">
        <v>45530</v>
      </c>
      <c r="I540" s="7">
        <f t="shared" si="8"/>
        <v>0</v>
      </c>
      <c r="J540" s="13" t="str" cm="1">
        <f t="array" ref="J540">_xlfn.IFS(I540=0, "Settled", I540&lt;=30, "1-30", I540&lt;=90, "31-90", I540&lt;=365, "91-365", I540&gt;365, "1 Year+")</f>
        <v>Settled</v>
      </c>
      <c r="K540" t="s">
        <v>819</v>
      </c>
      <c r="L540" s="3" cm="1">
        <f t="array" ref="L540">_xlfn.IFS(F540="AUD",E540*$V$2,F540="CAD",E540*$V$3,F540="EUR",E540*$V$4,F540="GBP",E540*$V$5,F540="USD",E540*$V$6)</f>
        <v>5034.4607999999998</v>
      </c>
      <c r="M540" s="3" cm="1">
        <f t="array" ref="M540">_xlfn.IFS(G540="Paid", L540, G540="Partial", L540*0.5, G540="Open", 0)</f>
        <v>5034.4607999999998</v>
      </c>
      <c r="N540" s="3" cm="1">
        <f t="array" ref="N540">_xlfn.IFS(G540="Open", L540, G540="Partial", L540*0.5, G540="Paid", 0)</f>
        <v>0</v>
      </c>
    </row>
    <row r="541" spans="1:14" x14ac:dyDescent="0.25">
      <c r="A541" t="s">
        <v>545</v>
      </c>
      <c r="B541" t="s">
        <v>807</v>
      </c>
      <c r="C541" s="5">
        <v>45727</v>
      </c>
      <c r="D541" s="5">
        <v>45757</v>
      </c>
      <c r="E541" s="3">
        <v>106.75</v>
      </c>
      <c r="F541" t="s">
        <v>815</v>
      </c>
      <c r="G541" t="s">
        <v>818</v>
      </c>
      <c r="H541" s="5">
        <v>45757</v>
      </c>
      <c r="I541" s="7">
        <f t="shared" si="8"/>
        <v>0</v>
      </c>
      <c r="J541" s="13" t="str" cm="1">
        <f t="array" ref="J541">_xlfn.IFS(I541=0, "Settled", I541&lt;=30, "1-30", I541&lt;=90, "31-90", I541&lt;=365, "91-365", I541&gt;365, "1 Year+")</f>
        <v>Settled</v>
      </c>
      <c r="K541" t="s">
        <v>819</v>
      </c>
      <c r="L541" s="3" cm="1">
        <f t="array" ref="L541">_xlfn.IFS(F541="AUD",E541*$V$2,F541="CAD",E541*$V$3,F541="EUR",E541*$V$4,F541="GBP",E541*$V$5,F541="USD",E541*$V$6)</f>
        <v>154.78749999999999</v>
      </c>
      <c r="M541" s="3" cm="1">
        <f t="array" ref="M541">_xlfn.IFS(G541="Paid", L541, G541="Partial", L541*0.5, G541="Open", 0)</f>
        <v>154.78749999999999</v>
      </c>
      <c r="N541" s="3" cm="1">
        <f t="array" ref="N541">_xlfn.IFS(G541="Open", L541, G541="Partial", L541*0.5, G541="Paid", 0)</f>
        <v>0</v>
      </c>
    </row>
    <row r="542" spans="1:14" x14ac:dyDescent="0.25">
      <c r="A542" t="s">
        <v>546</v>
      </c>
      <c r="B542" t="s">
        <v>807</v>
      </c>
      <c r="C542" s="5">
        <v>44947</v>
      </c>
      <c r="D542" s="5">
        <v>44977</v>
      </c>
      <c r="E542" s="3">
        <v>2259.02</v>
      </c>
      <c r="F542" t="s">
        <v>812</v>
      </c>
      <c r="G542" t="s">
        <v>817</v>
      </c>
      <c r="H542" s="5" t="s">
        <v>825</v>
      </c>
      <c r="I542" s="7">
        <f t="shared" si="8"/>
        <v>1129</v>
      </c>
      <c r="J542" s="13" t="str" cm="1">
        <f t="array" ref="J542">_xlfn.IFS(I542=0, "Settled", I542&lt;=30, "1-30", I542&lt;=90, "31-90", I542&lt;=365, "91-365", I542&gt;365, "1 Year+")</f>
        <v>1 Year+</v>
      </c>
      <c r="K542" t="s">
        <v>819</v>
      </c>
      <c r="L542" s="3" cm="1">
        <f t="array" ref="L542">_xlfn.IFS(F542="AUD",E542*$V$2,F542="CAD",E542*$V$3,F542="EUR",E542*$V$4,F542="GBP",E542*$V$5,F542="USD",E542*$V$6)</f>
        <v>3117.4475999999995</v>
      </c>
      <c r="M542" s="3" cm="1">
        <f t="array" ref="M542">_xlfn.IFS(G542="Paid", L542, G542="Partial", L542*0.5, G542="Open", 0)</f>
        <v>1558.7237999999998</v>
      </c>
      <c r="N542" s="3" cm="1">
        <f t="array" ref="N542">_xlfn.IFS(G542="Open", L542, G542="Partial", L542*0.5, G542="Paid", 0)</f>
        <v>1558.7237999999998</v>
      </c>
    </row>
    <row r="543" spans="1:14" x14ac:dyDescent="0.25">
      <c r="A543" t="s">
        <v>547</v>
      </c>
      <c r="B543" t="s">
        <v>809</v>
      </c>
      <c r="C543" s="5">
        <v>44941</v>
      </c>
      <c r="D543" s="5">
        <v>44971</v>
      </c>
      <c r="E543" s="3">
        <v>2046.68</v>
      </c>
      <c r="F543" t="s">
        <v>812</v>
      </c>
      <c r="G543" t="s">
        <v>816</v>
      </c>
      <c r="H543" s="5" t="s">
        <v>825</v>
      </c>
      <c r="I543" s="7">
        <f t="shared" si="8"/>
        <v>1135</v>
      </c>
      <c r="J543" s="13" t="str" cm="1">
        <f t="array" ref="J543">_xlfn.IFS(I543=0, "Settled", I543&lt;=30, "1-30", I543&lt;=90, "31-90", I543&lt;=365, "91-365", I543&gt;365, "1 Year+")</f>
        <v>1 Year+</v>
      </c>
      <c r="K543" t="s">
        <v>819</v>
      </c>
      <c r="L543" s="3" cm="1">
        <f t="array" ref="L543">_xlfn.IFS(F543="AUD",E543*$V$2,F543="CAD",E543*$V$3,F543="EUR",E543*$V$4,F543="GBP",E543*$V$5,F543="USD",E543*$V$6)</f>
        <v>2824.4184</v>
      </c>
      <c r="M543" s="3" cm="1">
        <f t="array" ref="M543">_xlfn.IFS(G543="Paid", L543, G543="Partial", L543*0.5, G543="Open", 0)</f>
        <v>0</v>
      </c>
      <c r="N543" s="3" cm="1">
        <f t="array" ref="N543">_xlfn.IFS(G543="Open", L543, G543="Partial", L543*0.5, G543="Paid", 0)</f>
        <v>2824.4184</v>
      </c>
    </row>
    <row r="544" spans="1:14" x14ac:dyDescent="0.25">
      <c r="A544" t="s">
        <v>548</v>
      </c>
      <c r="B544" t="s">
        <v>809</v>
      </c>
      <c r="C544" s="5">
        <v>45782</v>
      </c>
      <c r="D544" s="5">
        <v>45812</v>
      </c>
      <c r="E544" s="3">
        <v>3776.36</v>
      </c>
      <c r="F544" t="s">
        <v>813</v>
      </c>
      <c r="G544" t="s">
        <v>818</v>
      </c>
      <c r="H544" s="5">
        <v>45812</v>
      </c>
      <c r="I544" s="7">
        <f t="shared" si="8"/>
        <v>0</v>
      </c>
      <c r="J544" s="13" t="str" cm="1">
        <f t="array" ref="J544">_xlfn.IFS(I544=0, "Settled", I544&lt;=30, "1-30", I544&lt;=90, "31-90", I544&lt;=365, "91-365", I544&gt;365, "1 Year+")</f>
        <v>Settled</v>
      </c>
      <c r="K544" t="s">
        <v>819</v>
      </c>
      <c r="L544" s="3" cm="1">
        <f t="array" ref="L544">_xlfn.IFS(F544="AUD",E544*$V$2,F544="CAD",E544*$V$3,F544="EUR",E544*$V$4,F544="GBP",E544*$V$5,F544="USD",E544*$V$6)</f>
        <v>2832.27</v>
      </c>
      <c r="M544" s="3" cm="1">
        <f t="array" ref="M544">_xlfn.IFS(G544="Paid", L544, G544="Partial", L544*0.5, G544="Open", 0)</f>
        <v>2832.27</v>
      </c>
      <c r="N544" s="3" cm="1">
        <f t="array" ref="N544">_xlfn.IFS(G544="Open", L544, G544="Partial", L544*0.5, G544="Paid", 0)</f>
        <v>0</v>
      </c>
    </row>
    <row r="545" spans="1:14" x14ac:dyDescent="0.25">
      <c r="A545" t="s">
        <v>549</v>
      </c>
      <c r="B545" t="s">
        <v>807</v>
      </c>
      <c r="C545" s="5">
        <v>45815</v>
      </c>
      <c r="D545" s="5">
        <v>45845</v>
      </c>
      <c r="E545" s="3">
        <v>2839.95</v>
      </c>
      <c r="F545" t="s">
        <v>811</v>
      </c>
      <c r="G545" t="s">
        <v>818</v>
      </c>
      <c r="H545" s="5">
        <v>45845</v>
      </c>
      <c r="I545" s="7">
        <f t="shared" si="8"/>
        <v>0</v>
      </c>
      <c r="J545" s="13" t="str" cm="1">
        <f t="array" ref="J545">_xlfn.IFS(I545=0, "Settled", I545&lt;=30, "1-30", I545&lt;=90, "31-90", I545&lt;=365, "91-365", I545&gt;365, "1 Year+")</f>
        <v>Settled</v>
      </c>
      <c r="K545" t="s">
        <v>819</v>
      </c>
      <c r="L545" s="3" cm="1">
        <f t="array" ref="L545">_xlfn.IFS(F545="AUD",E545*$V$2,F545="CAD",E545*$V$3,F545="EUR",E545*$V$4,F545="GBP",E545*$V$5,F545="USD",E545*$V$6)</f>
        <v>2442.357</v>
      </c>
      <c r="M545" s="3" cm="1">
        <f t="array" ref="M545">_xlfn.IFS(G545="Paid", L545, G545="Partial", L545*0.5, G545="Open", 0)</f>
        <v>2442.357</v>
      </c>
      <c r="N545" s="3" cm="1">
        <f t="array" ref="N545">_xlfn.IFS(G545="Open", L545, G545="Partial", L545*0.5, G545="Paid", 0)</f>
        <v>0</v>
      </c>
    </row>
    <row r="546" spans="1:14" x14ac:dyDescent="0.25">
      <c r="A546" t="s">
        <v>550</v>
      </c>
      <c r="B546" t="s">
        <v>807</v>
      </c>
      <c r="C546" s="5">
        <v>45122</v>
      </c>
      <c r="D546" s="5">
        <v>45152</v>
      </c>
      <c r="E546" s="3">
        <v>2261.9499999999998</v>
      </c>
      <c r="F546" t="s">
        <v>813</v>
      </c>
      <c r="G546" t="s">
        <v>816</v>
      </c>
      <c r="H546" s="5" t="s">
        <v>825</v>
      </c>
      <c r="I546" s="7">
        <f t="shared" si="8"/>
        <v>954</v>
      </c>
      <c r="J546" s="13" t="str" cm="1">
        <f t="array" ref="J546">_xlfn.IFS(I546=0, "Settled", I546&lt;=30, "1-30", I546&lt;=90, "31-90", I546&lt;=365, "91-365", I546&gt;365, "1 Year+")</f>
        <v>1 Year+</v>
      </c>
      <c r="K546" t="s">
        <v>819</v>
      </c>
      <c r="L546" s="3" cm="1">
        <f t="array" ref="L546">_xlfn.IFS(F546="AUD",E546*$V$2,F546="CAD",E546*$V$3,F546="EUR",E546*$V$4,F546="GBP",E546*$V$5,F546="USD",E546*$V$6)</f>
        <v>1696.4624999999999</v>
      </c>
      <c r="M546" s="3" cm="1">
        <f t="array" ref="M546">_xlfn.IFS(G546="Paid", L546, G546="Partial", L546*0.5, G546="Open", 0)</f>
        <v>0</v>
      </c>
      <c r="N546" s="3" cm="1">
        <f t="array" ref="N546">_xlfn.IFS(G546="Open", L546, G546="Partial", L546*0.5, G546="Paid", 0)</f>
        <v>1696.4624999999999</v>
      </c>
    </row>
    <row r="547" spans="1:14" x14ac:dyDescent="0.25">
      <c r="A547" t="s">
        <v>551</v>
      </c>
      <c r="B547" t="s">
        <v>807</v>
      </c>
      <c r="C547" s="5">
        <v>45686</v>
      </c>
      <c r="D547" s="5">
        <v>45716</v>
      </c>
      <c r="E547" s="3">
        <v>104.02</v>
      </c>
      <c r="F547" t="s">
        <v>811</v>
      </c>
      <c r="G547" t="s">
        <v>817</v>
      </c>
      <c r="H547" s="5" t="s">
        <v>825</v>
      </c>
      <c r="I547" s="7">
        <f t="shared" si="8"/>
        <v>390</v>
      </c>
      <c r="J547" s="13" t="str" cm="1">
        <f t="array" ref="J547">_xlfn.IFS(I547=0, "Settled", I547&lt;=30, "1-30", I547&lt;=90, "31-90", I547&lt;=365, "91-365", I547&gt;365, "1 Year+")</f>
        <v>1 Year+</v>
      </c>
      <c r="K547" t="s">
        <v>819</v>
      </c>
      <c r="L547" s="3" cm="1">
        <f t="array" ref="L547">_xlfn.IFS(F547="AUD",E547*$V$2,F547="CAD",E547*$V$3,F547="EUR",E547*$V$4,F547="GBP",E547*$V$5,F547="USD",E547*$V$6)</f>
        <v>89.4572</v>
      </c>
      <c r="M547" s="3" cm="1">
        <f t="array" ref="M547">_xlfn.IFS(G547="Paid", L547, G547="Partial", L547*0.5, G547="Open", 0)</f>
        <v>44.7286</v>
      </c>
      <c r="N547" s="3" cm="1">
        <f t="array" ref="N547">_xlfn.IFS(G547="Open", L547, G547="Partial", L547*0.5, G547="Paid", 0)</f>
        <v>44.7286</v>
      </c>
    </row>
    <row r="548" spans="1:14" x14ac:dyDescent="0.25">
      <c r="A548" t="s">
        <v>552</v>
      </c>
      <c r="B548" t="s">
        <v>810</v>
      </c>
      <c r="C548" s="5">
        <v>45818</v>
      </c>
      <c r="D548" s="5">
        <v>45848</v>
      </c>
      <c r="E548" s="3">
        <v>3899.93</v>
      </c>
      <c r="F548" t="s">
        <v>813</v>
      </c>
      <c r="G548" t="s">
        <v>817</v>
      </c>
      <c r="H548" s="5" t="s">
        <v>825</v>
      </c>
      <c r="I548" s="7">
        <f t="shared" si="8"/>
        <v>258</v>
      </c>
      <c r="J548" s="13" t="str" cm="1">
        <f t="array" ref="J548">_xlfn.IFS(I548=0, "Settled", I548&lt;=30, "1-30", I548&lt;=90, "31-90", I548&lt;=365, "91-365", I548&gt;365, "1 Year+")</f>
        <v>91-365</v>
      </c>
      <c r="K548" t="s">
        <v>819</v>
      </c>
      <c r="L548" s="3" cm="1">
        <f t="array" ref="L548">_xlfn.IFS(F548="AUD",E548*$V$2,F548="CAD",E548*$V$3,F548="EUR",E548*$V$4,F548="GBP",E548*$V$5,F548="USD",E548*$V$6)</f>
        <v>2924.9474999999998</v>
      </c>
      <c r="M548" s="3" cm="1">
        <f t="array" ref="M548">_xlfn.IFS(G548="Paid", L548, G548="Partial", L548*0.5, G548="Open", 0)</f>
        <v>1462.4737499999999</v>
      </c>
      <c r="N548" s="3" cm="1">
        <f t="array" ref="N548">_xlfn.IFS(G548="Open", L548, G548="Partial", L548*0.5, G548="Paid", 0)</f>
        <v>1462.4737499999999</v>
      </c>
    </row>
    <row r="549" spans="1:14" x14ac:dyDescent="0.25">
      <c r="A549" t="s">
        <v>553</v>
      </c>
      <c r="B549" t="s">
        <v>809</v>
      </c>
      <c r="C549" s="5">
        <v>45476</v>
      </c>
      <c r="D549" s="5">
        <v>45506</v>
      </c>
      <c r="E549" s="3">
        <v>276.7</v>
      </c>
      <c r="F549" t="s">
        <v>811</v>
      </c>
      <c r="G549" t="s">
        <v>816</v>
      </c>
      <c r="H549" s="5" t="s">
        <v>825</v>
      </c>
      <c r="I549" s="7">
        <f t="shared" si="8"/>
        <v>600</v>
      </c>
      <c r="J549" s="13" t="str" cm="1">
        <f t="array" ref="J549">_xlfn.IFS(I549=0, "Settled", I549&lt;=30, "1-30", I549&lt;=90, "31-90", I549&lt;=365, "91-365", I549&gt;365, "1 Year+")</f>
        <v>1 Year+</v>
      </c>
      <c r="K549" t="s">
        <v>819</v>
      </c>
      <c r="L549" s="3" cm="1">
        <f t="array" ref="L549">_xlfn.IFS(F549="AUD",E549*$V$2,F549="CAD",E549*$V$3,F549="EUR",E549*$V$4,F549="GBP",E549*$V$5,F549="USD",E549*$V$6)</f>
        <v>237.96199999999999</v>
      </c>
      <c r="M549" s="3" cm="1">
        <f t="array" ref="M549">_xlfn.IFS(G549="Paid", L549, G549="Partial", L549*0.5, G549="Open", 0)</f>
        <v>0</v>
      </c>
      <c r="N549" s="3" cm="1">
        <f t="array" ref="N549">_xlfn.IFS(G549="Open", L549, G549="Partial", L549*0.5, G549="Paid", 0)</f>
        <v>237.96199999999999</v>
      </c>
    </row>
    <row r="550" spans="1:14" x14ac:dyDescent="0.25">
      <c r="A550" t="s">
        <v>554</v>
      </c>
      <c r="B550" t="s">
        <v>806</v>
      </c>
      <c r="C550" s="5">
        <v>45096</v>
      </c>
      <c r="D550" s="5">
        <v>45126</v>
      </c>
      <c r="E550" s="3">
        <v>4610.3100000000004</v>
      </c>
      <c r="F550" t="s">
        <v>814</v>
      </c>
      <c r="G550" t="s">
        <v>817</v>
      </c>
      <c r="H550" s="5" t="s">
        <v>825</v>
      </c>
      <c r="I550" s="7">
        <f t="shared" si="8"/>
        <v>980</v>
      </c>
      <c r="J550" s="13" t="str" cm="1">
        <f t="array" ref="J550">_xlfn.IFS(I550=0, "Settled", I550&lt;=30, "1-30", I550&lt;=90, "31-90", I550&lt;=365, "91-365", I550&gt;365, "1 Year+")</f>
        <v>1 Year+</v>
      </c>
      <c r="K550" t="s">
        <v>819</v>
      </c>
      <c r="L550" s="3" cm="1">
        <f t="array" ref="L550">_xlfn.IFS(F550="AUD",E550*$V$2,F550="CAD",E550*$V$3,F550="EUR",E550*$V$4,F550="GBP",E550*$V$5,F550="USD",E550*$V$6)</f>
        <v>4610.3100000000004</v>
      </c>
      <c r="M550" s="3" cm="1">
        <f t="array" ref="M550">_xlfn.IFS(G550="Paid", L550, G550="Partial", L550*0.5, G550="Open", 0)</f>
        <v>2305.1550000000002</v>
      </c>
      <c r="N550" s="3" cm="1">
        <f t="array" ref="N550">_xlfn.IFS(G550="Open", L550, G550="Partial", L550*0.5, G550="Paid", 0)</f>
        <v>2305.1550000000002</v>
      </c>
    </row>
    <row r="551" spans="1:14" x14ac:dyDescent="0.25">
      <c r="A551" t="s">
        <v>555</v>
      </c>
      <c r="B551" t="s">
        <v>808</v>
      </c>
      <c r="C551" s="5">
        <v>45812</v>
      </c>
      <c r="D551" s="5">
        <v>45842</v>
      </c>
      <c r="E551" s="3">
        <v>1285.1300000000001</v>
      </c>
      <c r="F551" t="s">
        <v>813</v>
      </c>
      <c r="G551" t="s">
        <v>818</v>
      </c>
      <c r="H551" s="5">
        <v>45842</v>
      </c>
      <c r="I551" s="7">
        <f t="shared" si="8"/>
        <v>0</v>
      </c>
      <c r="J551" s="13" t="str" cm="1">
        <f t="array" ref="J551">_xlfn.IFS(I551=0, "Settled", I551&lt;=30, "1-30", I551&lt;=90, "31-90", I551&lt;=365, "91-365", I551&gt;365, "1 Year+")</f>
        <v>Settled</v>
      </c>
      <c r="K551" t="s">
        <v>819</v>
      </c>
      <c r="L551" s="3" cm="1">
        <f t="array" ref="L551">_xlfn.IFS(F551="AUD",E551*$V$2,F551="CAD",E551*$V$3,F551="EUR",E551*$V$4,F551="GBP",E551*$V$5,F551="USD",E551*$V$6)</f>
        <v>963.84750000000008</v>
      </c>
      <c r="M551" s="3" cm="1">
        <f t="array" ref="M551">_xlfn.IFS(G551="Paid", L551, G551="Partial", L551*0.5, G551="Open", 0)</f>
        <v>963.84750000000008</v>
      </c>
      <c r="N551" s="3" cm="1">
        <f t="array" ref="N551">_xlfn.IFS(G551="Open", L551, G551="Partial", L551*0.5, G551="Paid", 0)</f>
        <v>0</v>
      </c>
    </row>
    <row r="552" spans="1:14" x14ac:dyDescent="0.25">
      <c r="A552" t="s">
        <v>556</v>
      </c>
      <c r="B552" t="s">
        <v>810</v>
      </c>
      <c r="C552" s="5">
        <v>45069</v>
      </c>
      <c r="D552" s="5">
        <v>45099</v>
      </c>
      <c r="E552" s="3">
        <v>3752.28</v>
      </c>
      <c r="F552" t="s">
        <v>813</v>
      </c>
      <c r="G552" t="s">
        <v>817</v>
      </c>
      <c r="H552" s="5" t="s">
        <v>825</v>
      </c>
      <c r="I552" s="7">
        <f t="shared" si="8"/>
        <v>1007</v>
      </c>
      <c r="J552" s="13" t="str" cm="1">
        <f t="array" ref="J552">_xlfn.IFS(I552=0, "Settled", I552&lt;=30, "1-30", I552&lt;=90, "31-90", I552&lt;=365, "91-365", I552&gt;365, "1 Year+")</f>
        <v>1 Year+</v>
      </c>
      <c r="K552" t="s">
        <v>819</v>
      </c>
      <c r="L552" s="3" cm="1">
        <f t="array" ref="L552">_xlfn.IFS(F552="AUD",E552*$V$2,F552="CAD",E552*$V$3,F552="EUR",E552*$V$4,F552="GBP",E552*$V$5,F552="USD",E552*$V$6)</f>
        <v>2814.21</v>
      </c>
      <c r="M552" s="3" cm="1">
        <f t="array" ref="M552">_xlfn.IFS(G552="Paid", L552, G552="Partial", L552*0.5, G552="Open", 0)</f>
        <v>1407.105</v>
      </c>
      <c r="N552" s="3" cm="1">
        <f t="array" ref="N552">_xlfn.IFS(G552="Open", L552, G552="Partial", L552*0.5, G552="Paid", 0)</f>
        <v>1407.105</v>
      </c>
    </row>
    <row r="553" spans="1:14" x14ac:dyDescent="0.25">
      <c r="A553" t="s">
        <v>557</v>
      </c>
      <c r="B553" t="s">
        <v>807</v>
      </c>
      <c r="C553" s="5">
        <v>45234</v>
      </c>
      <c r="D553" s="5">
        <v>45264</v>
      </c>
      <c r="E553" s="3">
        <v>3746.16</v>
      </c>
      <c r="F553" t="s">
        <v>813</v>
      </c>
      <c r="G553" t="s">
        <v>816</v>
      </c>
      <c r="H553" s="5" t="s">
        <v>825</v>
      </c>
      <c r="I553" s="7">
        <f t="shared" si="8"/>
        <v>842</v>
      </c>
      <c r="J553" s="13" t="str" cm="1">
        <f t="array" ref="J553">_xlfn.IFS(I553=0, "Settled", I553&lt;=30, "1-30", I553&lt;=90, "31-90", I553&lt;=365, "91-365", I553&gt;365, "1 Year+")</f>
        <v>1 Year+</v>
      </c>
      <c r="K553" t="s">
        <v>819</v>
      </c>
      <c r="L553" s="3" cm="1">
        <f t="array" ref="L553">_xlfn.IFS(F553="AUD",E553*$V$2,F553="CAD",E553*$V$3,F553="EUR",E553*$V$4,F553="GBP",E553*$V$5,F553="USD",E553*$V$6)</f>
        <v>2809.62</v>
      </c>
      <c r="M553" s="3" cm="1">
        <f t="array" ref="M553">_xlfn.IFS(G553="Paid", L553, G553="Partial", L553*0.5, G553="Open", 0)</f>
        <v>0</v>
      </c>
      <c r="N553" s="3" cm="1">
        <f t="array" ref="N553">_xlfn.IFS(G553="Open", L553, G553="Partial", L553*0.5, G553="Paid", 0)</f>
        <v>2809.62</v>
      </c>
    </row>
    <row r="554" spans="1:14" x14ac:dyDescent="0.25">
      <c r="A554" t="s">
        <v>558</v>
      </c>
      <c r="B554" t="s">
        <v>806</v>
      </c>
      <c r="C554" s="5">
        <v>45644</v>
      </c>
      <c r="D554" s="5">
        <v>45674</v>
      </c>
      <c r="E554" s="3">
        <v>4464.8999999999996</v>
      </c>
      <c r="F554" t="s">
        <v>814</v>
      </c>
      <c r="G554" t="s">
        <v>818</v>
      </c>
      <c r="H554" s="5">
        <v>45674</v>
      </c>
      <c r="I554" s="7">
        <f t="shared" si="8"/>
        <v>0</v>
      </c>
      <c r="J554" s="13" t="str" cm="1">
        <f t="array" ref="J554">_xlfn.IFS(I554=0, "Settled", I554&lt;=30, "1-30", I554&lt;=90, "31-90", I554&lt;=365, "91-365", I554&gt;365, "1 Year+")</f>
        <v>Settled</v>
      </c>
      <c r="K554" t="s">
        <v>819</v>
      </c>
      <c r="L554" s="3" cm="1">
        <f t="array" ref="L554">_xlfn.IFS(F554="AUD",E554*$V$2,F554="CAD",E554*$V$3,F554="EUR",E554*$V$4,F554="GBP",E554*$V$5,F554="USD",E554*$V$6)</f>
        <v>4464.8999999999996</v>
      </c>
      <c r="M554" s="3" cm="1">
        <f t="array" ref="M554">_xlfn.IFS(G554="Paid", L554, G554="Partial", L554*0.5, G554="Open", 0)</f>
        <v>4464.8999999999996</v>
      </c>
      <c r="N554" s="3" cm="1">
        <f t="array" ref="N554">_xlfn.IFS(G554="Open", L554, G554="Partial", L554*0.5, G554="Paid", 0)</f>
        <v>0</v>
      </c>
    </row>
    <row r="555" spans="1:14" x14ac:dyDescent="0.25">
      <c r="A555" t="s">
        <v>559</v>
      </c>
      <c r="B555" t="s">
        <v>810</v>
      </c>
      <c r="C555" s="5">
        <v>45471</v>
      </c>
      <c r="D555" s="5">
        <v>45501</v>
      </c>
      <c r="E555" s="3">
        <v>4957.1499999999996</v>
      </c>
      <c r="F555" t="s">
        <v>814</v>
      </c>
      <c r="G555" t="s">
        <v>816</v>
      </c>
      <c r="H555" s="5" t="s">
        <v>825</v>
      </c>
      <c r="I555" s="7">
        <f t="shared" si="8"/>
        <v>605</v>
      </c>
      <c r="J555" s="13" t="str" cm="1">
        <f t="array" ref="J555">_xlfn.IFS(I555=0, "Settled", I555&lt;=30, "1-30", I555&lt;=90, "31-90", I555&lt;=365, "91-365", I555&gt;365, "1 Year+")</f>
        <v>1 Year+</v>
      </c>
      <c r="K555" t="s">
        <v>819</v>
      </c>
      <c r="L555" s="3" cm="1">
        <f t="array" ref="L555">_xlfn.IFS(F555="AUD",E555*$V$2,F555="CAD",E555*$V$3,F555="EUR",E555*$V$4,F555="GBP",E555*$V$5,F555="USD",E555*$V$6)</f>
        <v>4957.1499999999996</v>
      </c>
      <c r="M555" s="3" cm="1">
        <f t="array" ref="M555">_xlfn.IFS(G555="Paid", L555, G555="Partial", L555*0.5, G555="Open", 0)</f>
        <v>0</v>
      </c>
      <c r="N555" s="3" cm="1">
        <f t="array" ref="N555">_xlfn.IFS(G555="Open", L555, G555="Partial", L555*0.5, G555="Paid", 0)</f>
        <v>4957.1499999999996</v>
      </c>
    </row>
    <row r="556" spans="1:14" x14ac:dyDescent="0.25">
      <c r="A556" t="s">
        <v>560</v>
      </c>
      <c r="B556" t="s">
        <v>809</v>
      </c>
      <c r="C556" s="5">
        <v>45503</v>
      </c>
      <c r="D556" s="5">
        <v>45533</v>
      </c>
      <c r="E556" s="3">
        <v>129.91</v>
      </c>
      <c r="F556" t="s">
        <v>813</v>
      </c>
      <c r="G556" t="s">
        <v>816</v>
      </c>
      <c r="H556" s="5" t="s">
        <v>825</v>
      </c>
      <c r="I556" s="7">
        <f t="shared" si="8"/>
        <v>573</v>
      </c>
      <c r="J556" s="13" t="str" cm="1">
        <f t="array" ref="J556">_xlfn.IFS(I556=0, "Settled", I556&lt;=30, "1-30", I556&lt;=90, "31-90", I556&lt;=365, "91-365", I556&gt;365, "1 Year+")</f>
        <v>1 Year+</v>
      </c>
      <c r="K556" t="s">
        <v>819</v>
      </c>
      <c r="L556" s="3" cm="1">
        <f t="array" ref="L556">_xlfn.IFS(F556="AUD",E556*$V$2,F556="CAD",E556*$V$3,F556="EUR",E556*$V$4,F556="GBP",E556*$V$5,F556="USD",E556*$V$6)</f>
        <v>97.432500000000005</v>
      </c>
      <c r="M556" s="3" cm="1">
        <f t="array" ref="M556">_xlfn.IFS(G556="Paid", L556, G556="Partial", L556*0.5, G556="Open", 0)</f>
        <v>0</v>
      </c>
      <c r="N556" s="3" cm="1">
        <f t="array" ref="N556">_xlfn.IFS(G556="Open", L556, G556="Partial", L556*0.5, G556="Paid", 0)</f>
        <v>97.432500000000005</v>
      </c>
    </row>
    <row r="557" spans="1:14" x14ac:dyDescent="0.25">
      <c r="A557" t="s">
        <v>561</v>
      </c>
      <c r="B557" t="s">
        <v>807</v>
      </c>
      <c r="C557" s="5">
        <v>45080</v>
      </c>
      <c r="D557" s="5">
        <v>45110</v>
      </c>
      <c r="E557" s="3">
        <v>4151.46</v>
      </c>
      <c r="F557" t="s">
        <v>815</v>
      </c>
      <c r="G557" t="s">
        <v>818</v>
      </c>
      <c r="H557" s="5">
        <v>45110</v>
      </c>
      <c r="I557" s="7">
        <f t="shared" si="8"/>
        <v>0</v>
      </c>
      <c r="J557" s="13" t="str" cm="1">
        <f t="array" ref="J557">_xlfn.IFS(I557=0, "Settled", I557&lt;=30, "1-30", I557&lt;=90, "31-90", I557&lt;=365, "91-365", I557&gt;365, "1 Year+")</f>
        <v>Settled</v>
      </c>
      <c r="K557" t="s">
        <v>819</v>
      </c>
      <c r="L557" s="3" cm="1">
        <f t="array" ref="L557">_xlfn.IFS(F557="AUD",E557*$V$2,F557="CAD",E557*$V$3,F557="EUR",E557*$V$4,F557="GBP",E557*$V$5,F557="USD",E557*$V$6)</f>
        <v>6019.6170000000002</v>
      </c>
      <c r="M557" s="3" cm="1">
        <f t="array" ref="M557">_xlfn.IFS(G557="Paid", L557, G557="Partial", L557*0.5, G557="Open", 0)</f>
        <v>6019.6170000000002</v>
      </c>
      <c r="N557" s="3" cm="1">
        <f t="array" ref="N557">_xlfn.IFS(G557="Open", L557, G557="Partial", L557*0.5, G557="Paid", 0)</f>
        <v>0</v>
      </c>
    </row>
    <row r="558" spans="1:14" x14ac:dyDescent="0.25">
      <c r="A558" t="s">
        <v>562</v>
      </c>
      <c r="B558" t="s">
        <v>810</v>
      </c>
      <c r="C558" s="5">
        <v>45345</v>
      </c>
      <c r="D558" s="5">
        <v>45375</v>
      </c>
      <c r="E558" s="3">
        <v>4386</v>
      </c>
      <c r="F558" t="s">
        <v>815</v>
      </c>
      <c r="G558" t="s">
        <v>816</v>
      </c>
      <c r="H558" s="5" t="s">
        <v>825</v>
      </c>
      <c r="I558" s="7">
        <f t="shared" si="8"/>
        <v>731</v>
      </c>
      <c r="J558" s="13" t="str" cm="1">
        <f t="array" ref="J558">_xlfn.IFS(I558=0, "Settled", I558&lt;=30, "1-30", I558&lt;=90, "31-90", I558&lt;=365, "91-365", I558&gt;365, "1 Year+")</f>
        <v>1 Year+</v>
      </c>
      <c r="K558" t="s">
        <v>819</v>
      </c>
      <c r="L558" s="3" cm="1">
        <f t="array" ref="L558">_xlfn.IFS(F558="AUD",E558*$V$2,F558="CAD",E558*$V$3,F558="EUR",E558*$V$4,F558="GBP",E558*$V$5,F558="USD",E558*$V$6)</f>
        <v>6359.7</v>
      </c>
      <c r="M558" s="3" cm="1">
        <f t="array" ref="M558">_xlfn.IFS(G558="Paid", L558, G558="Partial", L558*0.5, G558="Open", 0)</f>
        <v>0</v>
      </c>
      <c r="N558" s="3" cm="1">
        <f t="array" ref="N558">_xlfn.IFS(G558="Open", L558, G558="Partial", L558*0.5, G558="Paid", 0)</f>
        <v>6359.7</v>
      </c>
    </row>
    <row r="559" spans="1:14" x14ac:dyDescent="0.25">
      <c r="A559" t="s">
        <v>563</v>
      </c>
      <c r="B559" t="s">
        <v>809</v>
      </c>
      <c r="C559" s="5">
        <v>45452</v>
      </c>
      <c r="D559" s="5">
        <v>45482</v>
      </c>
      <c r="E559" s="3">
        <v>2792.29</v>
      </c>
      <c r="F559" t="s">
        <v>815</v>
      </c>
      <c r="G559" t="s">
        <v>818</v>
      </c>
      <c r="H559" s="5">
        <v>45482</v>
      </c>
      <c r="I559" s="7">
        <f t="shared" si="8"/>
        <v>0</v>
      </c>
      <c r="J559" s="13" t="str" cm="1">
        <f t="array" ref="J559">_xlfn.IFS(I559=0, "Settled", I559&lt;=30, "1-30", I559&lt;=90, "31-90", I559&lt;=365, "91-365", I559&gt;365, "1 Year+")</f>
        <v>Settled</v>
      </c>
      <c r="K559" t="s">
        <v>819</v>
      </c>
      <c r="L559" s="3" cm="1">
        <f t="array" ref="L559">_xlfn.IFS(F559="AUD",E559*$V$2,F559="CAD",E559*$V$3,F559="EUR",E559*$V$4,F559="GBP",E559*$V$5,F559="USD",E559*$V$6)</f>
        <v>4048.8204999999998</v>
      </c>
      <c r="M559" s="3" cm="1">
        <f t="array" ref="M559">_xlfn.IFS(G559="Paid", L559, G559="Partial", L559*0.5, G559="Open", 0)</f>
        <v>4048.8204999999998</v>
      </c>
      <c r="N559" s="3" cm="1">
        <f t="array" ref="N559">_xlfn.IFS(G559="Open", L559, G559="Partial", L559*0.5, G559="Paid", 0)</f>
        <v>0</v>
      </c>
    </row>
    <row r="560" spans="1:14" x14ac:dyDescent="0.25">
      <c r="A560" t="s">
        <v>564</v>
      </c>
      <c r="B560" t="s">
        <v>810</v>
      </c>
      <c r="C560" s="5">
        <v>45738</v>
      </c>
      <c r="D560" s="5">
        <v>45768</v>
      </c>
      <c r="E560" s="3">
        <v>2307.9</v>
      </c>
      <c r="F560" t="s">
        <v>813</v>
      </c>
      <c r="G560" t="s">
        <v>816</v>
      </c>
      <c r="H560" s="5" t="s">
        <v>825</v>
      </c>
      <c r="I560" s="7">
        <f t="shared" si="8"/>
        <v>338</v>
      </c>
      <c r="J560" s="13" t="str" cm="1">
        <f t="array" ref="J560">_xlfn.IFS(I560=0, "Settled", I560&lt;=30, "1-30", I560&lt;=90, "31-90", I560&lt;=365, "91-365", I560&gt;365, "1 Year+")</f>
        <v>91-365</v>
      </c>
      <c r="K560" t="s">
        <v>819</v>
      </c>
      <c r="L560" s="3" cm="1">
        <f t="array" ref="L560">_xlfn.IFS(F560="AUD",E560*$V$2,F560="CAD",E560*$V$3,F560="EUR",E560*$V$4,F560="GBP",E560*$V$5,F560="USD",E560*$V$6)</f>
        <v>1730.9250000000002</v>
      </c>
      <c r="M560" s="3" cm="1">
        <f t="array" ref="M560">_xlfn.IFS(G560="Paid", L560, G560="Partial", L560*0.5, G560="Open", 0)</f>
        <v>0</v>
      </c>
      <c r="N560" s="3" cm="1">
        <f t="array" ref="N560">_xlfn.IFS(G560="Open", L560, G560="Partial", L560*0.5, G560="Paid", 0)</f>
        <v>1730.9250000000002</v>
      </c>
    </row>
    <row r="561" spans="1:14" x14ac:dyDescent="0.25">
      <c r="A561" t="s">
        <v>565</v>
      </c>
      <c r="B561" t="s">
        <v>806</v>
      </c>
      <c r="C561" s="5">
        <v>45537</v>
      </c>
      <c r="D561" s="5">
        <v>45567</v>
      </c>
      <c r="E561" s="3">
        <v>1432.07</v>
      </c>
      <c r="F561" t="s">
        <v>815</v>
      </c>
      <c r="G561" t="s">
        <v>818</v>
      </c>
      <c r="H561" s="5">
        <v>45567</v>
      </c>
      <c r="I561" s="7">
        <f t="shared" si="8"/>
        <v>0</v>
      </c>
      <c r="J561" s="13" t="str" cm="1">
        <f t="array" ref="J561">_xlfn.IFS(I561=0, "Settled", I561&lt;=30, "1-30", I561&lt;=90, "31-90", I561&lt;=365, "91-365", I561&gt;365, "1 Year+")</f>
        <v>Settled</v>
      </c>
      <c r="K561" t="s">
        <v>819</v>
      </c>
      <c r="L561" s="3" cm="1">
        <f t="array" ref="L561">_xlfn.IFS(F561="AUD",E561*$V$2,F561="CAD",E561*$V$3,F561="EUR",E561*$V$4,F561="GBP",E561*$V$5,F561="USD",E561*$V$6)</f>
        <v>2076.5014999999999</v>
      </c>
      <c r="M561" s="3" cm="1">
        <f t="array" ref="M561">_xlfn.IFS(G561="Paid", L561, G561="Partial", L561*0.5, G561="Open", 0)</f>
        <v>2076.5014999999999</v>
      </c>
      <c r="N561" s="3" cm="1">
        <f t="array" ref="N561">_xlfn.IFS(G561="Open", L561, G561="Partial", L561*0.5, G561="Paid", 0)</f>
        <v>0</v>
      </c>
    </row>
    <row r="562" spans="1:14" x14ac:dyDescent="0.25">
      <c r="A562" t="s">
        <v>566</v>
      </c>
      <c r="B562" t="s">
        <v>809</v>
      </c>
      <c r="C562" s="5">
        <v>45472</v>
      </c>
      <c r="D562" s="5">
        <v>45502</v>
      </c>
      <c r="E562" s="3">
        <v>2127.41</v>
      </c>
      <c r="F562" t="s">
        <v>814</v>
      </c>
      <c r="G562" t="s">
        <v>816</v>
      </c>
      <c r="H562" s="5" t="s">
        <v>825</v>
      </c>
      <c r="I562" s="7">
        <f t="shared" si="8"/>
        <v>604</v>
      </c>
      <c r="J562" s="13" t="str" cm="1">
        <f t="array" ref="J562">_xlfn.IFS(I562=0, "Settled", I562&lt;=30, "1-30", I562&lt;=90, "31-90", I562&lt;=365, "91-365", I562&gt;365, "1 Year+")</f>
        <v>1 Year+</v>
      </c>
      <c r="K562" t="s">
        <v>819</v>
      </c>
      <c r="L562" s="3" cm="1">
        <f t="array" ref="L562">_xlfn.IFS(F562="AUD",E562*$V$2,F562="CAD",E562*$V$3,F562="EUR",E562*$V$4,F562="GBP",E562*$V$5,F562="USD",E562*$V$6)</f>
        <v>2127.41</v>
      </c>
      <c r="M562" s="3" cm="1">
        <f t="array" ref="M562">_xlfn.IFS(G562="Paid", L562, G562="Partial", L562*0.5, G562="Open", 0)</f>
        <v>0</v>
      </c>
      <c r="N562" s="3" cm="1">
        <f t="array" ref="N562">_xlfn.IFS(G562="Open", L562, G562="Partial", L562*0.5, G562="Paid", 0)</f>
        <v>2127.41</v>
      </c>
    </row>
    <row r="563" spans="1:14" x14ac:dyDescent="0.25">
      <c r="A563" t="s">
        <v>567</v>
      </c>
      <c r="B563" t="s">
        <v>808</v>
      </c>
      <c r="C563" s="5">
        <v>45623</v>
      </c>
      <c r="D563" s="5">
        <v>45653</v>
      </c>
      <c r="E563" s="3">
        <v>254.96</v>
      </c>
      <c r="F563" t="s">
        <v>813</v>
      </c>
      <c r="G563" t="s">
        <v>818</v>
      </c>
      <c r="H563" s="5">
        <v>45653</v>
      </c>
      <c r="I563" s="7">
        <f t="shared" si="8"/>
        <v>0</v>
      </c>
      <c r="J563" s="13" t="str" cm="1">
        <f t="array" ref="J563">_xlfn.IFS(I563=0, "Settled", I563&lt;=30, "1-30", I563&lt;=90, "31-90", I563&lt;=365, "91-365", I563&gt;365, "1 Year+")</f>
        <v>Settled</v>
      </c>
      <c r="K563" t="s">
        <v>819</v>
      </c>
      <c r="L563" s="3" cm="1">
        <f t="array" ref="L563">_xlfn.IFS(F563="AUD",E563*$V$2,F563="CAD",E563*$V$3,F563="EUR",E563*$V$4,F563="GBP",E563*$V$5,F563="USD",E563*$V$6)</f>
        <v>191.22</v>
      </c>
      <c r="M563" s="3" cm="1">
        <f t="array" ref="M563">_xlfn.IFS(G563="Paid", L563, G563="Partial", L563*0.5, G563="Open", 0)</f>
        <v>191.22</v>
      </c>
      <c r="N563" s="3" cm="1">
        <f t="array" ref="N563">_xlfn.IFS(G563="Open", L563, G563="Partial", L563*0.5, G563="Paid", 0)</f>
        <v>0</v>
      </c>
    </row>
    <row r="564" spans="1:14" x14ac:dyDescent="0.25">
      <c r="A564" t="s">
        <v>568</v>
      </c>
      <c r="B564" t="s">
        <v>809</v>
      </c>
      <c r="C564" s="5">
        <v>45160</v>
      </c>
      <c r="D564" s="5">
        <v>45190</v>
      </c>
      <c r="E564" s="3">
        <v>2704.91</v>
      </c>
      <c r="F564" t="s">
        <v>815</v>
      </c>
      <c r="G564" t="s">
        <v>816</v>
      </c>
      <c r="H564" s="5" t="s">
        <v>825</v>
      </c>
      <c r="I564" s="7">
        <f t="shared" si="8"/>
        <v>916</v>
      </c>
      <c r="J564" s="13" t="str" cm="1">
        <f t="array" ref="J564">_xlfn.IFS(I564=0, "Settled", I564&lt;=30, "1-30", I564&lt;=90, "31-90", I564&lt;=365, "91-365", I564&gt;365, "1 Year+")</f>
        <v>1 Year+</v>
      </c>
      <c r="K564" t="s">
        <v>819</v>
      </c>
      <c r="L564" s="3" cm="1">
        <f t="array" ref="L564">_xlfn.IFS(F564="AUD",E564*$V$2,F564="CAD",E564*$V$3,F564="EUR",E564*$V$4,F564="GBP",E564*$V$5,F564="USD",E564*$V$6)</f>
        <v>3922.1194999999998</v>
      </c>
      <c r="M564" s="3" cm="1">
        <f t="array" ref="M564">_xlfn.IFS(G564="Paid", L564, G564="Partial", L564*0.5, G564="Open", 0)</f>
        <v>0</v>
      </c>
      <c r="N564" s="3" cm="1">
        <f t="array" ref="N564">_xlfn.IFS(G564="Open", L564, G564="Partial", L564*0.5, G564="Paid", 0)</f>
        <v>3922.1194999999998</v>
      </c>
    </row>
    <row r="565" spans="1:14" x14ac:dyDescent="0.25">
      <c r="A565" t="s">
        <v>569</v>
      </c>
      <c r="B565" t="s">
        <v>808</v>
      </c>
      <c r="C565" s="5">
        <v>45438</v>
      </c>
      <c r="D565" s="5">
        <v>45468</v>
      </c>
      <c r="E565" s="3">
        <v>1222.6300000000001</v>
      </c>
      <c r="F565" t="s">
        <v>812</v>
      </c>
      <c r="G565" t="s">
        <v>818</v>
      </c>
      <c r="H565" s="5">
        <v>45468</v>
      </c>
      <c r="I565" s="7">
        <f t="shared" si="8"/>
        <v>0</v>
      </c>
      <c r="J565" s="13" t="str" cm="1">
        <f t="array" ref="J565">_xlfn.IFS(I565=0, "Settled", I565&lt;=30, "1-30", I565&lt;=90, "31-90", I565&lt;=365, "91-365", I565&gt;365, "1 Year+")</f>
        <v>Settled</v>
      </c>
      <c r="K565" t="s">
        <v>819</v>
      </c>
      <c r="L565" s="3" cm="1">
        <f t="array" ref="L565">_xlfn.IFS(F565="AUD",E565*$V$2,F565="CAD",E565*$V$3,F565="EUR",E565*$V$4,F565="GBP",E565*$V$5,F565="USD",E565*$V$6)</f>
        <v>1687.2293999999999</v>
      </c>
      <c r="M565" s="3" cm="1">
        <f t="array" ref="M565">_xlfn.IFS(G565="Paid", L565, G565="Partial", L565*0.5, G565="Open", 0)</f>
        <v>1687.2293999999999</v>
      </c>
      <c r="N565" s="3" cm="1">
        <f t="array" ref="N565">_xlfn.IFS(G565="Open", L565, G565="Partial", L565*0.5, G565="Paid", 0)</f>
        <v>0</v>
      </c>
    </row>
    <row r="566" spans="1:14" x14ac:dyDescent="0.25">
      <c r="A566" t="s">
        <v>570</v>
      </c>
      <c r="B566" t="s">
        <v>807</v>
      </c>
      <c r="C566" s="5">
        <v>44951</v>
      </c>
      <c r="D566" s="5">
        <v>44981</v>
      </c>
      <c r="E566" s="3">
        <v>2660.77</v>
      </c>
      <c r="F566" t="s">
        <v>814</v>
      </c>
      <c r="G566" t="s">
        <v>817</v>
      </c>
      <c r="H566" s="5" t="s">
        <v>825</v>
      </c>
      <c r="I566" s="7">
        <f t="shared" si="8"/>
        <v>1125</v>
      </c>
      <c r="J566" s="13" t="str" cm="1">
        <f t="array" ref="J566">_xlfn.IFS(I566=0, "Settled", I566&lt;=30, "1-30", I566&lt;=90, "31-90", I566&lt;=365, "91-365", I566&gt;365, "1 Year+")</f>
        <v>1 Year+</v>
      </c>
      <c r="K566" t="s">
        <v>819</v>
      </c>
      <c r="L566" s="3" cm="1">
        <f t="array" ref="L566">_xlfn.IFS(F566="AUD",E566*$V$2,F566="CAD",E566*$V$3,F566="EUR",E566*$V$4,F566="GBP",E566*$V$5,F566="USD",E566*$V$6)</f>
        <v>2660.77</v>
      </c>
      <c r="M566" s="3" cm="1">
        <f t="array" ref="M566">_xlfn.IFS(G566="Paid", L566, G566="Partial", L566*0.5, G566="Open", 0)</f>
        <v>1330.385</v>
      </c>
      <c r="N566" s="3" cm="1">
        <f t="array" ref="N566">_xlfn.IFS(G566="Open", L566, G566="Partial", L566*0.5, G566="Paid", 0)</f>
        <v>1330.385</v>
      </c>
    </row>
    <row r="567" spans="1:14" x14ac:dyDescent="0.25">
      <c r="A567" t="s">
        <v>571</v>
      </c>
      <c r="B567" t="s">
        <v>809</v>
      </c>
      <c r="C567" s="5">
        <v>45120</v>
      </c>
      <c r="D567" s="5">
        <v>45150</v>
      </c>
      <c r="E567" s="3">
        <v>1359</v>
      </c>
      <c r="F567" t="s">
        <v>811</v>
      </c>
      <c r="G567" t="s">
        <v>816</v>
      </c>
      <c r="H567" s="5" t="s">
        <v>825</v>
      </c>
      <c r="I567" s="7">
        <f t="shared" si="8"/>
        <v>956</v>
      </c>
      <c r="J567" s="13" t="str" cm="1">
        <f t="array" ref="J567">_xlfn.IFS(I567=0, "Settled", I567&lt;=30, "1-30", I567&lt;=90, "31-90", I567&lt;=365, "91-365", I567&gt;365, "1 Year+")</f>
        <v>1 Year+</v>
      </c>
      <c r="K567" t="s">
        <v>819</v>
      </c>
      <c r="L567" s="3" cm="1">
        <f t="array" ref="L567">_xlfn.IFS(F567="AUD",E567*$V$2,F567="CAD",E567*$V$3,F567="EUR",E567*$V$4,F567="GBP",E567*$V$5,F567="USD",E567*$V$6)</f>
        <v>1168.74</v>
      </c>
      <c r="M567" s="3" cm="1">
        <f t="array" ref="M567">_xlfn.IFS(G567="Paid", L567, G567="Partial", L567*0.5, G567="Open", 0)</f>
        <v>0</v>
      </c>
      <c r="N567" s="3" cm="1">
        <f t="array" ref="N567">_xlfn.IFS(G567="Open", L567, G567="Partial", L567*0.5, G567="Paid", 0)</f>
        <v>1168.74</v>
      </c>
    </row>
    <row r="568" spans="1:14" x14ac:dyDescent="0.25">
      <c r="A568" t="s">
        <v>572</v>
      </c>
      <c r="B568" t="s">
        <v>809</v>
      </c>
      <c r="C568" s="5">
        <v>45182</v>
      </c>
      <c r="D568" s="5">
        <v>45212</v>
      </c>
      <c r="E568" s="3">
        <v>1597.59</v>
      </c>
      <c r="F568" t="s">
        <v>811</v>
      </c>
      <c r="G568" t="s">
        <v>818</v>
      </c>
      <c r="H568" s="5">
        <v>45212</v>
      </c>
      <c r="I568" s="7">
        <f t="shared" si="8"/>
        <v>0</v>
      </c>
      <c r="J568" s="13" t="str" cm="1">
        <f t="array" ref="J568">_xlfn.IFS(I568=0, "Settled", I568&lt;=30, "1-30", I568&lt;=90, "31-90", I568&lt;=365, "91-365", I568&gt;365, "1 Year+")</f>
        <v>Settled</v>
      </c>
      <c r="K568" t="s">
        <v>819</v>
      </c>
      <c r="L568" s="3" cm="1">
        <f t="array" ref="L568">_xlfn.IFS(F568="AUD",E568*$V$2,F568="CAD",E568*$V$3,F568="EUR",E568*$V$4,F568="GBP",E568*$V$5,F568="USD",E568*$V$6)</f>
        <v>1373.9273999999998</v>
      </c>
      <c r="M568" s="3" cm="1">
        <f t="array" ref="M568">_xlfn.IFS(G568="Paid", L568, G568="Partial", L568*0.5, G568="Open", 0)</f>
        <v>1373.9273999999998</v>
      </c>
      <c r="N568" s="3" cm="1">
        <f t="array" ref="N568">_xlfn.IFS(G568="Open", L568, G568="Partial", L568*0.5, G568="Paid", 0)</f>
        <v>0</v>
      </c>
    </row>
    <row r="569" spans="1:14" x14ac:dyDescent="0.25">
      <c r="A569" t="s">
        <v>573</v>
      </c>
      <c r="B569" t="s">
        <v>806</v>
      </c>
      <c r="C569" s="5">
        <v>44997</v>
      </c>
      <c r="D569" s="5">
        <v>45027</v>
      </c>
      <c r="E569" s="3">
        <v>4456.2</v>
      </c>
      <c r="F569" t="s">
        <v>812</v>
      </c>
      <c r="G569" t="s">
        <v>817</v>
      </c>
      <c r="H569" s="5" t="s">
        <v>825</v>
      </c>
      <c r="I569" s="7">
        <f t="shared" si="8"/>
        <v>1079</v>
      </c>
      <c r="J569" s="13" t="str" cm="1">
        <f t="array" ref="J569">_xlfn.IFS(I569=0, "Settled", I569&lt;=30, "1-30", I569&lt;=90, "31-90", I569&lt;=365, "91-365", I569&gt;365, "1 Year+")</f>
        <v>1 Year+</v>
      </c>
      <c r="K569" t="s">
        <v>819</v>
      </c>
      <c r="L569" s="3" cm="1">
        <f t="array" ref="L569">_xlfn.IFS(F569="AUD",E569*$V$2,F569="CAD",E569*$V$3,F569="EUR",E569*$V$4,F569="GBP",E569*$V$5,F569="USD",E569*$V$6)</f>
        <v>6149.5559999999996</v>
      </c>
      <c r="M569" s="3" cm="1">
        <f t="array" ref="M569">_xlfn.IFS(G569="Paid", L569, G569="Partial", L569*0.5, G569="Open", 0)</f>
        <v>3074.7779999999998</v>
      </c>
      <c r="N569" s="3" cm="1">
        <f t="array" ref="N569">_xlfn.IFS(G569="Open", L569, G569="Partial", L569*0.5, G569="Paid", 0)</f>
        <v>3074.7779999999998</v>
      </c>
    </row>
    <row r="570" spans="1:14" x14ac:dyDescent="0.25">
      <c r="A570" t="s">
        <v>574</v>
      </c>
      <c r="B570" t="s">
        <v>810</v>
      </c>
      <c r="C570" s="5">
        <v>45587</v>
      </c>
      <c r="D570" s="5">
        <v>45617</v>
      </c>
      <c r="E570" s="3">
        <v>583.61</v>
      </c>
      <c r="F570" t="s">
        <v>813</v>
      </c>
      <c r="G570" t="s">
        <v>817</v>
      </c>
      <c r="H570" s="5" t="s">
        <v>825</v>
      </c>
      <c r="I570" s="7">
        <f t="shared" si="8"/>
        <v>489</v>
      </c>
      <c r="J570" s="13" t="str" cm="1">
        <f t="array" ref="J570">_xlfn.IFS(I570=0, "Settled", I570&lt;=30, "1-30", I570&lt;=90, "31-90", I570&lt;=365, "91-365", I570&gt;365, "1 Year+")</f>
        <v>1 Year+</v>
      </c>
      <c r="K570" t="s">
        <v>819</v>
      </c>
      <c r="L570" s="3" cm="1">
        <f t="array" ref="L570">_xlfn.IFS(F570="AUD",E570*$V$2,F570="CAD",E570*$V$3,F570="EUR",E570*$V$4,F570="GBP",E570*$V$5,F570="USD",E570*$V$6)</f>
        <v>437.70749999999998</v>
      </c>
      <c r="M570" s="3" cm="1">
        <f t="array" ref="M570">_xlfn.IFS(G570="Paid", L570, G570="Partial", L570*0.5, G570="Open", 0)</f>
        <v>218.85374999999999</v>
      </c>
      <c r="N570" s="3" cm="1">
        <f t="array" ref="N570">_xlfn.IFS(G570="Open", L570, G570="Partial", L570*0.5, G570="Paid", 0)</f>
        <v>218.85374999999999</v>
      </c>
    </row>
    <row r="571" spans="1:14" x14ac:dyDescent="0.25">
      <c r="A571" t="s">
        <v>575</v>
      </c>
      <c r="B571" t="s">
        <v>810</v>
      </c>
      <c r="C571" s="5">
        <v>45511</v>
      </c>
      <c r="D571" s="5">
        <v>45541</v>
      </c>
      <c r="E571" s="3">
        <v>3912.65</v>
      </c>
      <c r="F571" t="s">
        <v>814</v>
      </c>
      <c r="G571" t="s">
        <v>817</v>
      </c>
      <c r="H571" s="5" t="s">
        <v>825</v>
      </c>
      <c r="I571" s="7">
        <f t="shared" si="8"/>
        <v>565</v>
      </c>
      <c r="J571" s="13" t="str" cm="1">
        <f t="array" ref="J571">_xlfn.IFS(I571=0, "Settled", I571&lt;=30, "1-30", I571&lt;=90, "31-90", I571&lt;=365, "91-365", I571&gt;365, "1 Year+")</f>
        <v>1 Year+</v>
      </c>
      <c r="K571" t="s">
        <v>819</v>
      </c>
      <c r="L571" s="3" cm="1">
        <f t="array" ref="L571">_xlfn.IFS(F571="AUD",E571*$V$2,F571="CAD",E571*$V$3,F571="EUR",E571*$V$4,F571="GBP",E571*$V$5,F571="USD",E571*$V$6)</f>
        <v>3912.65</v>
      </c>
      <c r="M571" s="3" cm="1">
        <f t="array" ref="M571">_xlfn.IFS(G571="Paid", L571, G571="Partial", L571*0.5, G571="Open", 0)</f>
        <v>1956.325</v>
      </c>
      <c r="N571" s="3" cm="1">
        <f t="array" ref="N571">_xlfn.IFS(G571="Open", L571, G571="Partial", L571*0.5, G571="Paid", 0)</f>
        <v>1956.325</v>
      </c>
    </row>
    <row r="572" spans="1:14" x14ac:dyDescent="0.25">
      <c r="A572" t="s">
        <v>576</v>
      </c>
      <c r="B572" t="s">
        <v>809</v>
      </c>
      <c r="C572" s="5">
        <v>45070</v>
      </c>
      <c r="D572" s="5">
        <v>45100</v>
      </c>
      <c r="E572" s="3">
        <v>2835.21</v>
      </c>
      <c r="F572" t="s">
        <v>814</v>
      </c>
      <c r="G572" t="s">
        <v>818</v>
      </c>
      <c r="H572" s="5">
        <v>45100</v>
      </c>
      <c r="I572" s="7">
        <f t="shared" si="8"/>
        <v>0</v>
      </c>
      <c r="J572" s="13" t="str" cm="1">
        <f t="array" ref="J572">_xlfn.IFS(I572=0, "Settled", I572&lt;=30, "1-30", I572&lt;=90, "31-90", I572&lt;=365, "91-365", I572&gt;365, "1 Year+")</f>
        <v>Settled</v>
      </c>
      <c r="K572" t="s">
        <v>819</v>
      </c>
      <c r="L572" s="3" cm="1">
        <f t="array" ref="L572">_xlfn.IFS(F572="AUD",E572*$V$2,F572="CAD",E572*$V$3,F572="EUR",E572*$V$4,F572="GBP",E572*$V$5,F572="USD",E572*$V$6)</f>
        <v>2835.21</v>
      </c>
      <c r="M572" s="3" cm="1">
        <f t="array" ref="M572">_xlfn.IFS(G572="Paid", L572, G572="Partial", L572*0.5, G572="Open", 0)</f>
        <v>2835.21</v>
      </c>
      <c r="N572" s="3" cm="1">
        <f t="array" ref="N572">_xlfn.IFS(G572="Open", L572, G572="Partial", L572*0.5, G572="Paid", 0)</f>
        <v>0</v>
      </c>
    </row>
    <row r="573" spans="1:14" x14ac:dyDescent="0.25">
      <c r="A573" t="s">
        <v>577</v>
      </c>
      <c r="B573" t="s">
        <v>809</v>
      </c>
      <c r="C573" s="5">
        <v>45461</v>
      </c>
      <c r="D573" s="5">
        <v>45491</v>
      </c>
      <c r="E573" s="3">
        <v>865.54</v>
      </c>
      <c r="F573" t="s">
        <v>811</v>
      </c>
      <c r="G573" t="s">
        <v>817</v>
      </c>
      <c r="H573" s="5" t="s">
        <v>825</v>
      </c>
      <c r="I573" s="7">
        <f t="shared" si="8"/>
        <v>615</v>
      </c>
      <c r="J573" s="13" t="str" cm="1">
        <f t="array" ref="J573">_xlfn.IFS(I573=0, "Settled", I573&lt;=30, "1-30", I573&lt;=90, "31-90", I573&lt;=365, "91-365", I573&gt;365, "1 Year+")</f>
        <v>1 Year+</v>
      </c>
      <c r="K573" t="s">
        <v>819</v>
      </c>
      <c r="L573" s="3" cm="1">
        <f t="array" ref="L573">_xlfn.IFS(F573="AUD",E573*$V$2,F573="CAD",E573*$V$3,F573="EUR",E573*$V$4,F573="GBP",E573*$V$5,F573="USD",E573*$V$6)</f>
        <v>744.36439999999993</v>
      </c>
      <c r="M573" s="3" cm="1">
        <f t="array" ref="M573">_xlfn.IFS(G573="Paid", L573, G573="Partial", L573*0.5, G573="Open", 0)</f>
        <v>372.18219999999997</v>
      </c>
      <c r="N573" s="3" cm="1">
        <f t="array" ref="N573">_xlfn.IFS(G573="Open", L573, G573="Partial", L573*0.5, G573="Paid", 0)</f>
        <v>372.18219999999997</v>
      </c>
    </row>
    <row r="574" spans="1:14" x14ac:dyDescent="0.25">
      <c r="A574" t="s">
        <v>578</v>
      </c>
      <c r="B574" t="s">
        <v>809</v>
      </c>
      <c r="C574" s="5">
        <v>45455</v>
      </c>
      <c r="D574" s="5">
        <v>45485</v>
      </c>
      <c r="E574" s="3">
        <v>3671.15</v>
      </c>
      <c r="F574" t="s">
        <v>813</v>
      </c>
      <c r="G574" t="s">
        <v>817</v>
      </c>
      <c r="H574" s="5" t="s">
        <v>825</v>
      </c>
      <c r="I574" s="7">
        <f t="shared" si="8"/>
        <v>621</v>
      </c>
      <c r="J574" s="13" t="str" cm="1">
        <f t="array" ref="J574">_xlfn.IFS(I574=0, "Settled", I574&lt;=30, "1-30", I574&lt;=90, "31-90", I574&lt;=365, "91-365", I574&gt;365, "1 Year+")</f>
        <v>1 Year+</v>
      </c>
      <c r="K574" t="s">
        <v>819</v>
      </c>
      <c r="L574" s="3" cm="1">
        <f t="array" ref="L574">_xlfn.IFS(F574="AUD",E574*$V$2,F574="CAD",E574*$V$3,F574="EUR",E574*$V$4,F574="GBP",E574*$V$5,F574="USD",E574*$V$6)</f>
        <v>2753.3625000000002</v>
      </c>
      <c r="M574" s="3" cm="1">
        <f t="array" ref="M574">_xlfn.IFS(G574="Paid", L574, G574="Partial", L574*0.5, G574="Open", 0)</f>
        <v>1376.6812500000001</v>
      </c>
      <c r="N574" s="3" cm="1">
        <f t="array" ref="N574">_xlfn.IFS(G574="Open", L574, G574="Partial", L574*0.5, G574="Paid", 0)</f>
        <v>1376.6812500000001</v>
      </c>
    </row>
    <row r="575" spans="1:14" x14ac:dyDescent="0.25">
      <c r="A575" t="s">
        <v>579</v>
      </c>
      <c r="B575" t="s">
        <v>808</v>
      </c>
      <c r="C575" s="5">
        <v>45775</v>
      </c>
      <c r="D575" s="5">
        <v>45805</v>
      </c>
      <c r="E575" s="3">
        <v>2131.81</v>
      </c>
      <c r="F575" t="s">
        <v>814</v>
      </c>
      <c r="G575" t="s">
        <v>818</v>
      </c>
      <c r="H575" s="5">
        <v>45805</v>
      </c>
      <c r="I575" s="7">
        <f t="shared" si="8"/>
        <v>0</v>
      </c>
      <c r="J575" s="13" t="str" cm="1">
        <f t="array" ref="J575">_xlfn.IFS(I575=0, "Settled", I575&lt;=30, "1-30", I575&lt;=90, "31-90", I575&lt;=365, "91-365", I575&gt;365, "1 Year+")</f>
        <v>Settled</v>
      </c>
      <c r="K575" t="s">
        <v>819</v>
      </c>
      <c r="L575" s="3" cm="1">
        <f t="array" ref="L575">_xlfn.IFS(F575="AUD",E575*$V$2,F575="CAD",E575*$V$3,F575="EUR",E575*$V$4,F575="GBP",E575*$V$5,F575="USD",E575*$V$6)</f>
        <v>2131.81</v>
      </c>
      <c r="M575" s="3" cm="1">
        <f t="array" ref="M575">_xlfn.IFS(G575="Paid", L575, G575="Partial", L575*0.5, G575="Open", 0)</f>
        <v>2131.81</v>
      </c>
      <c r="N575" s="3" cm="1">
        <f t="array" ref="N575">_xlfn.IFS(G575="Open", L575, G575="Partial", L575*0.5, G575="Paid", 0)</f>
        <v>0</v>
      </c>
    </row>
    <row r="576" spans="1:14" x14ac:dyDescent="0.25">
      <c r="A576" t="s">
        <v>580</v>
      </c>
      <c r="B576" t="s">
        <v>807</v>
      </c>
      <c r="C576" s="5">
        <v>45616</v>
      </c>
      <c r="D576" s="5">
        <v>45646</v>
      </c>
      <c r="E576" s="3">
        <v>4512.54</v>
      </c>
      <c r="F576" t="s">
        <v>815</v>
      </c>
      <c r="G576" t="s">
        <v>817</v>
      </c>
      <c r="H576" s="5" t="s">
        <v>825</v>
      </c>
      <c r="I576" s="7">
        <f t="shared" si="8"/>
        <v>460</v>
      </c>
      <c r="J576" s="13" t="str" cm="1">
        <f t="array" ref="J576">_xlfn.IFS(I576=0, "Settled", I576&lt;=30, "1-30", I576&lt;=90, "31-90", I576&lt;=365, "91-365", I576&gt;365, "1 Year+")</f>
        <v>1 Year+</v>
      </c>
      <c r="K576" t="s">
        <v>819</v>
      </c>
      <c r="L576" s="3" cm="1">
        <f t="array" ref="L576">_xlfn.IFS(F576="AUD",E576*$V$2,F576="CAD",E576*$V$3,F576="EUR",E576*$V$4,F576="GBP",E576*$V$5,F576="USD",E576*$V$6)</f>
        <v>6543.183</v>
      </c>
      <c r="M576" s="3" cm="1">
        <f t="array" ref="M576">_xlfn.IFS(G576="Paid", L576, G576="Partial", L576*0.5, G576="Open", 0)</f>
        <v>3271.5915</v>
      </c>
      <c r="N576" s="3" cm="1">
        <f t="array" ref="N576">_xlfn.IFS(G576="Open", L576, G576="Partial", L576*0.5, G576="Paid", 0)</f>
        <v>3271.5915</v>
      </c>
    </row>
    <row r="577" spans="1:14" x14ac:dyDescent="0.25">
      <c r="A577" t="s">
        <v>581</v>
      </c>
      <c r="B577" t="s">
        <v>806</v>
      </c>
      <c r="C577" s="5">
        <v>45491</v>
      </c>
      <c r="D577" s="5">
        <v>45521</v>
      </c>
      <c r="E577" s="3">
        <v>4516.3100000000004</v>
      </c>
      <c r="F577" t="s">
        <v>814</v>
      </c>
      <c r="G577" t="s">
        <v>816</v>
      </c>
      <c r="H577" s="5" t="s">
        <v>825</v>
      </c>
      <c r="I577" s="7">
        <f t="shared" si="8"/>
        <v>585</v>
      </c>
      <c r="J577" s="13" t="str" cm="1">
        <f t="array" ref="J577">_xlfn.IFS(I577=0, "Settled", I577&lt;=30, "1-30", I577&lt;=90, "31-90", I577&lt;=365, "91-365", I577&gt;365, "1 Year+")</f>
        <v>1 Year+</v>
      </c>
      <c r="K577" t="s">
        <v>819</v>
      </c>
      <c r="L577" s="3" cm="1">
        <f t="array" ref="L577">_xlfn.IFS(F577="AUD",E577*$V$2,F577="CAD",E577*$V$3,F577="EUR",E577*$V$4,F577="GBP",E577*$V$5,F577="USD",E577*$V$6)</f>
        <v>4516.3100000000004</v>
      </c>
      <c r="M577" s="3" cm="1">
        <f t="array" ref="M577">_xlfn.IFS(G577="Paid", L577, G577="Partial", L577*0.5, G577="Open", 0)</f>
        <v>0</v>
      </c>
      <c r="N577" s="3" cm="1">
        <f t="array" ref="N577">_xlfn.IFS(G577="Open", L577, G577="Partial", L577*0.5, G577="Paid", 0)</f>
        <v>4516.3100000000004</v>
      </c>
    </row>
    <row r="578" spans="1:14" x14ac:dyDescent="0.25">
      <c r="A578" t="s">
        <v>582</v>
      </c>
      <c r="B578" t="s">
        <v>807</v>
      </c>
      <c r="C578" s="5">
        <v>45554</v>
      </c>
      <c r="D578" s="5">
        <v>45584</v>
      </c>
      <c r="E578" s="3">
        <v>1978.27</v>
      </c>
      <c r="F578" t="s">
        <v>814</v>
      </c>
      <c r="G578" t="s">
        <v>818</v>
      </c>
      <c r="H578" s="5">
        <v>45584</v>
      </c>
      <c r="I578" s="7">
        <f t="shared" si="8"/>
        <v>0</v>
      </c>
      <c r="J578" s="13" t="str" cm="1">
        <f t="array" ref="J578">_xlfn.IFS(I578=0, "Settled", I578&lt;=30, "1-30", I578&lt;=90, "31-90", I578&lt;=365, "91-365", I578&gt;365, "1 Year+")</f>
        <v>Settled</v>
      </c>
      <c r="K578" t="s">
        <v>819</v>
      </c>
      <c r="L578" s="3" cm="1">
        <f t="array" ref="L578">_xlfn.IFS(F578="AUD",E578*$V$2,F578="CAD",E578*$V$3,F578="EUR",E578*$V$4,F578="GBP",E578*$V$5,F578="USD",E578*$V$6)</f>
        <v>1978.27</v>
      </c>
      <c r="M578" s="3" cm="1">
        <f t="array" ref="M578">_xlfn.IFS(G578="Paid", L578, G578="Partial", L578*0.5, G578="Open", 0)</f>
        <v>1978.27</v>
      </c>
      <c r="N578" s="3" cm="1">
        <f t="array" ref="N578">_xlfn.IFS(G578="Open", L578, G578="Partial", L578*0.5, G578="Paid", 0)</f>
        <v>0</v>
      </c>
    </row>
    <row r="579" spans="1:14" x14ac:dyDescent="0.25">
      <c r="A579" t="s">
        <v>583</v>
      </c>
      <c r="B579" t="s">
        <v>808</v>
      </c>
      <c r="C579" s="5">
        <v>45417</v>
      </c>
      <c r="D579" s="5">
        <v>45447</v>
      </c>
      <c r="E579" s="3">
        <v>1703.15</v>
      </c>
      <c r="F579" t="s">
        <v>813</v>
      </c>
      <c r="G579" t="s">
        <v>818</v>
      </c>
      <c r="H579" s="5">
        <v>45447</v>
      </c>
      <c r="I579" s="7">
        <f t="shared" ref="I579:I642" si="9">IF(G579="Paid",0,DATE(2026,3,25)-D579)</f>
        <v>0</v>
      </c>
      <c r="J579" s="13" t="str" cm="1">
        <f t="array" ref="J579">_xlfn.IFS(I579=0, "Settled", I579&lt;=30, "1-30", I579&lt;=90, "31-90", I579&lt;=365, "91-365", I579&gt;365, "1 Year+")</f>
        <v>Settled</v>
      </c>
      <c r="K579" t="s">
        <v>819</v>
      </c>
      <c r="L579" s="3" cm="1">
        <f t="array" ref="L579">_xlfn.IFS(F579="AUD",E579*$V$2,F579="CAD",E579*$V$3,F579="EUR",E579*$V$4,F579="GBP",E579*$V$5,F579="USD",E579*$V$6)</f>
        <v>1277.3625000000002</v>
      </c>
      <c r="M579" s="3" cm="1">
        <f t="array" ref="M579">_xlfn.IFS(G579="Paid", L579, G579="Partial", L579*0.5, G579="Open", 0)</f>
        <v>1277.3625000000002</v>
      </c>
      <c r="N579" s="3" cm="1">
        <f t="array" ref="N579">_xlfn.IFS(G579="Open", L579, G579="Partial", L579*0.5, G579="Paid", 0)</f>
        <v>0</v>
      </c>
    </row>
    <row r="580" spans="1:14" x14ac:dyDescent="0.25">
      <c r="A580" t="s">
        <v>584</v>
      </c>
      <c r="B580" t="s">
        <v>806</v>
      </c>
      <c r="C580" s="5">
        <v>45287</v>
      </c>
      <c r="D580" s="5">
        <v>45317</v>
      </c>
      <c r="E580" s="3">
        <v>765.18</v>
      </c>
      <c r="F580" t="s">
        <v>814</v>
      </c>
      <c r="G580" t="s">
        <v>816</v>
      </c>
      <c r="H580" s="5" t="s">
        <v>825</v>
      </c>
      <c r="I580" s="7">
        <f t="shared" si="9"/>
        <v>789</v>
      </c>
      <c r="J580" s="13" t="str" cm="1">
        <f t="array" ref="J580">_xlfn.IFS(I580=0, "Settled", I580&lt;=30, "1-30", I580&lt;=90, "31-90", I580&lt;=365, "91-365", I580&gt;365, "1 Year+")</f>
        <v>1 Year+</v>
      </c>
      <c r="K580" t="s">
        <v>819</v>
      </c>
      <c r="L580" s="3" cm="1">
        <f t="array" ref="L580">_xlfn.IFS(F580="AUD",E580*$V$2,F580="CAD",E580*$V$3,F580="EUR",E580*$V$4,F580="GBP",E580*$V$5,F580="USD",E580*$V$6)</f>
        <v>765.18</v>
      </c>
      <c r="M580" s="3" cm="1">
        <f t="array" ref="M580">_xlfn.IFS(G580="Paid", L580, G580="Partial", L580*0.5, G580="Open", 0)</f>
        <v>0</v>
      </c>
      <c r="N580" s="3" cm="1">
        <f t="array" ref="N580">_xlfn.IFS(G580="Open", L580, G580="Partial", L580*0.5, G580="Paid", 0)</f>
        <v>765.18</v>
      </c>
    </row>
    <row r="581" spans="1:14" x14ac:dyDescent="0.25">
      <c r="A581" t="s">
        <v>585</v>
      </c>
      <c r="B581" t="s">
        <v>807</v>
      </c>
      <c r="C581" s="5">
        <v>44992</v>
      </c>
      <c r="D581" s="5">
        <v>45022</v>
      </c>
      <c r="E581" s="3">
        <v>4823.6099999999997</v>
      </c>
      <c r="F581" t="s">
        <v>815</v>
      </c>
      <c r="G581" t="s">
        <v>816</v>
      </c>
      <c r="H581" s="5" t="s">
        <v>825</v>
      </c>
      <c r="I581" s="7">
        <f t="shared" si="9"/>
        <v>1084</v>
      </c>
      <c r="J581" s="13" t="str" cm="1">
        <f t="array" ref="J581">_xlfn.IFS(I581=0, "Settled", I581&lt;=30, "1-30", I581&lt;=90, "31-90", I581&lt;=365, "91-365", I581&gt;365, "1 Year+")</f>
        <v>1 Year+</v>
      </c>
      <c r="K581" t="s">
        <v>819</v>
      </c>
      <c r="L581" s="3" cm="1">
        <f t="array" ref="L581">_xlfn.IFS(F581="AUD",E581*$V$2,F581="CAD",E581*$V$3,F581="EUR",E581*$V$4,F581="GBP",E581*$V$5,F581="USD",E581*$V$6)</f>
        <v>6994.2344999999996</v>
      </c>
      <c r="M581" s="3" cm="1">
        <f t="array" ref="M581">_xlfn.IFS(G581="Paid", L581, G581="Partial", L581*0.5, G581="Open", 0)</f>
        <v>0</v>
      </c>
      <c r="N581" s="3" cm="1">
        <f t="array" ref="N581">_xlfn.IFS(G581="Open", L581, G581="Partial", L581*0.5, G581="Paid", 0)</f>
        <v>6994.2344999999996</v>
      </c>
    </row>
    <row r="582" spans="1:14" x14ac:dyDescent="0.25">
      <c r="A582" t="s">
        <v>586</v>
      </c>
      <c r="B582" t="s">
        <v>810</v>
      </c>
      <c r="C582" s="5">
        <v>45813</v>
      </c>
      <c r="D582" s="5">
        <v>45843</v>
      </c>
      <c r="E582" s="3">
        <v>929.8</v>
      </c>
      <c r="F582" t="s">
        <v>814</v>
      </c>
      <c r="G582" t="s">
        <v>818</v>
      </c>
      <c r="H582" s="5">
        <v>45843</v>
      </c>
      <c r="I582" s="7">
        <f t="shared" si="9"/>
        <v>0</v>
      </c>
      <c r="J582" s="13" t="str" cm="1">
        <f t="array" ref="J582">_xlfn.IFS(I582=0, "Settled", I582&lt;=30, "1-30", I582&lt;=90, "31-90", I582&lt;=365, "91-365", I582&gt;365, "1 Year+")</f>
        <v>Settled</v>
      </c>
      <c r="K582" t="s">
        <v>819</v>
      </c>
      <c r="L582" s="3" cm="1">
        <f t="array" ref="L582">_xlfn.IFS(F582="AUD",E582*$V$2,F582="CAD",E582*$V$3,F582="EUR",E582*$V$4,F582="GBP",E582*$V$5,F582="USD",E582*$V$6)</f>
        <v>929.8</v>
      </c>
      <c r="M582" s="3" cm="1">
        <f t="array" ref="M582">_xlfn.IFS(G582="Paid", L582, G582="Partial", L582*0.5, G582="Open", 0)</f>
        <v>929.8</v>
      </c>
      <c r="N582" s="3" cm="1">
        <f t="array" ref="N582">_xlfn.IFS(G582="Open", L582, G582="Partial", L582*0.5, G582="Paid", 0)</f>
        <v>0</v>
      </c>
    </row>
    <row r="583" spans="1:14" x14ac:dyDescent="0.25">
      <c r="A583" t="s">
        <v>587</v>
      </c>
      <c r="B583" t="s">
        <v>809</v>
      </c>
      <c r="C583" s="5">
        <v>45349</v>
      </c>
      <c r="D583" s="5">
        <v>45379</v>
      </c>
      <c r="E583" s="3">
        <v>4543.1099999999997</v>
      </c>
      <c r="F583" t="s">
        <v>814</v>
      </c>
      <c r="G583" t="s">
        <v>818</v>
      </c>
      <c r="H583" s="5">
        <v>45379</v>
      </c>
      <c r="I583" s="7">
        <f t="shared" si="9"/>
        <v>0</v>
      </c>
      <c r="J583" s="13" t="str" cm="1">
        <f t="array" ref="J583">_xlfn.IFS(I583=0, "Settled", I583&lt;=30, "1-30", I583&lt;=90, "31-90", I583&lt;=365, "91-365", I583&gt;365, "1 Year+")</f>
        <v>Settled</v>
      </c>
      <c r="K583" t="s">
        <v>819</v>
      </c>
      <c r="L583" s="3" cm="1">
        <f t="array" ref="L583">_xlfn.IFS(F583="AUD",E583*$V$2,F583="CAD",E583*$V$3,F583="EUR",E583*$V$4,F583="GBP",E583*$V$5,F583="USD",E583*$V$6)</f>
        <v>4543.1099999999997</v>
      </c>
      <c r="M583" s="3" cm="1">
        <f t="array" ref="M583">_xlfn.IFS(G583="Paid", L583, G583="Partial", L583*0.5, G583="Open", 0)</f>
        <v>4543.1099999999997</v>
      </c>
      <c r="N583" s="3" cm="1">
        <f t="array" ref="N583">_xlfn.IFS(G583="Open", L583, G583="Partial", L583*0.5, G583="Paid", 0)</f>
        <v>0</v>
      </c>
    </row>
    <row r="584" spans="1:14" x14ac:dyDescent="0.25">
      <c r="A584" t="s">
        <v>588</v>
      </c>
      <c r="B584" t="s">
        <v>806</v>
      </c>
      <c r="C584" s="5">
        <v>45354</v>
      </c>
      <c r="D584" s="5">
        <v>45384</v>
      </c>
      <c r="E584" s="3">
        <v>3165.91</v>
      </c>
      <c r="F584" t="s">
        <v>815</v>
      </c>
      <c r="G584" t="s">
        <v>817</v>
      </c>
      <c r="H584" s="5" t="s">
        <v>825</v>
      </c>
      <c r="I584" s="7">
        <f t="shared" si="9"/>
        <v>722</v>
      </c>
      <c r="J584" s="13" t="str" cm="1">
        <f t="array" ref="J584">_xlfn.IFS(I584=0, "Settled", I584&lt;=30, "1-30", I584&lt;=90, "31-90", I584&lt;=365, "91-365", I584&gt;365, "1 Year+")</f>
        <v>1 Year+</v>
      </c>
      <c r="K584" t="s">
        <v>819</v>
      </c>
      <c r="L584" s="3" cm="1">
        <f t="array" ref="L584">_xlfn.IFS(F584="AUD",E584*$V$2,F584="CAD",E584*$V$3,F584="EUR",E584*$V$4,F584="GBP",E584*$V$5,F584="USD",E584*$V$6)</f>
        <v>4590.5694999999996</v>
      </c>
      <c r="M584" s="3" cm="1">
        <f t="array" ref="M584">_xlfn.IFS(G584="Paid", L584, G584="Partial", L584*0.5, G584="Open", 0)</f>
        <v>2295.2847499999998</v>
      </c>
      <c r="N584" s="3" cm="1">
        <f t="array" ref="N584">_xlfn.IFS(G584="Open", L584, G584="Partial", L584*0.5, G584="Paid", 0)</f>
        <v>2295.2847499999998</v>
      </c>
    </row>
    <row r="585" spans="1:14" x14ac:dyDescent="0.25">
      <c r="A585" t="s">
        <v>589</v>
      </c>
      <c r="B585" t="s">
        <v>810</v>
      </c>
      <c r="C585" s="5">
        <v>45749</v>
      </c>
      <c r="D585" s="5">
        <v>45779</v>
      </c>
      <c r="E585" s="3">
        <v>674.53</v>
      </c>
      <c r="F585" t="s">
        <v>814</v>
      </c>
      <c r="G585" t="s">
        <v>817</v>
      </c>
      <c r="H585" s="5" t="s">
        <v>825</v>
      </c>
      <c r="I585" s="7">
        <f t="shared" si="9"/>
        <v>327</v>
      </c>
      <c r="J585" s="13" t="str" cm="1">
        <f t="array" ref="J585">_xlfn.IFS(I585=0, "Settled", I585&lt;=30, "1-30", I585&lt;=90, "31-90", I585&lt;=365, "91-365", I585&gt;365, "1 Year+")</f>
        <v>91-365</v>
      </c>
      <c r="K585" t="s">
        <v>819</v>
      </c>
      <c r="L585" s="3" cm="1">
        <f t="array" ref="L585">_xlfn.IFS(F585="AUD",E585*$V$2,F585="CAD",E585*$V$3,F585="EUR",E585*$V$4,F585="GBP",E585*$V$5,F585="USD",E585*$V$6)</f>
        <v>674.53</v>
      </c>
      <c r="M585" s="3" cm="1">
        <f t="array" ref="M585">_xlfn.IFS(G585="Paid", L585, G585="Partial", L585*0.5, G585="Open", 0)</f>
        <v>337.26499999999999</v>
      </c>
      <c r="N585" s="3" cm="1">
        <f t="array" ref="N585">_xlfn.IFS(G585="Open", L585, G585="Partial", L585*0.5, G585="Paid", 0)</f>
        <v>337.26499999999999</v>
      </c>
    </row>
    <row r="586" spans="1:14" x14ac:dyDescent="0.25">
      <c r="A586" t="s">
        <v>590</v>
      </c>
      <c r="B586" t="s">
        <v>806</v>
      </c>
      <c r="C586" s="5">
        <v>45342</v>
      </c>
      <c r="D586" s="5">
        <v>45372</v>
      </c>
      <c r="E586" s="3">
        <v>860.37</v>
      </c>
      <c r="F586" t="s">
        <v>811</v>
      </c>
      <c r="G586" t="s">
        <v>818</v>
      </c>
      <c r="H586" s="5">
        <v>45372</v>
      </c>
      <c r="I586" s="7">
        <f t="shared" si="9"/>
        <v>0</v>
      </c>
      <c r="J586" s="13" t="str" cm="1">
        <f t="array" ref="J586">_xlfn.IFS(I586=0, "Settled", I586&lt;=30, "1-30", I586&lt;=90, "31-90", I586&lt;=365, "91-365", I586&gt;365, "1 Year+")</f>
        <v>Settled</v>
      </c>
      <c r="K586" t="s">
        <v>819</v>
      </c>
      <c r="L586" s="3" cm="1">
        <f t="array" ref="L586">_xlfn.IFS(F586="AUD",E586*$V$2,F586="CAD",E586*$V$3,F586="EUR",E586*$V$4,F586="GBP",E586*$V$5,F586="USD",E586*$V$6)</f>
        <v>739.91819999999996</v>
      </c>
      <c r="M586" s="3" cm="1">
        <f t="array" ref="M586">_xlfn.IFS(G586="Paid", L586, G586="Partial", L586*0.5, G586="Open", 0)</f>
        <v>739.91819999999996</v>
      </c>
      <c r="N586" s="3" cm="1">
        <f t="array" ref="N586">_xlfn.IFS(G586="Open", L586, G586="Partial", L586*0.5, G586="Paid", 0)</f>
        <v>0</v>
      </c>
    </row>
    <row r="587" spans="1:14" x14ac:dyDescent="0.25">
      <c r="A587" t="s">
        <v>591</v>
      </c>
      <c r="B587" t="s">
        <v>806</v>
      </c>
      <c r="C587" s="5">
        <v>44953</v>
      </c>
      <c r="D587" s="5">
        <v>44983</v>
      </c>
      <c r="E587" s="3">
        <v>1506.08</v>
      </c>
      <c r="F587" t="s">
        <v>811</v>
      </c>
      <c r="G587" t="s">
        <v>817</v>
      </c>
      <c r="H587" s="5" t="s">
        <v>825</v>
      </c>
      <c r="I587" s="7">
        <f t="shared" si="9"/>
        <v>1123</v>
      </c>
      <c r="J587" s="13" t="str" cm="1">
        <f t="array" ref="J587">_xlfn.IFS(I587=0, "Settled", I587&lt;=30, "1-30", I587&lt;=90, "31-90", I587&lt;=365, "91-365", I587&gt;365, "1 Year+")</f>
        <v>1 Year+</v>
      </c>
      <c r="K587" t="s">
        <v>819</v>
      </c>
      <c r="L587" s="3" cm="1">
        <f t="array" ref="L587">_xlfn.IFS(F587="AUD",E587*$V$2,F587="CAD",E587*$V$3,F587="EUR",E587*$V$4,F587="GBP",E587*$V$5,F587="USD",E587*$V$6)</f>
        <v>1295.2287999999999</v>
      </c>
      <c r="M587" s="3" cm="1">
        <f t="array" ref="M587">_xlfn.IFS(G587="Paid", L587, G587="Partial", L587*0.5, G587="Open", 0)</f>
        <v>647.61439999999993</v>
      </c>
      <c r="N587" s="3" cm="1">
        <f t="array" ref="N587">_xlfn.IFS(G587="Open", L587, G587="Partial", L587*0.5, G587="Paid", 0)</f>
        <v>647.61439999999993</v>
      </c>
    </row>
    <row r="588" spans="1:14" x14ac:dyDescent="0.25">
      <c r="A588" t="s">
        <v>592</v>
      </c>
      <c r="B588" t="s">
        <v>809</v>
      </c>
      <c r="C588" s="5">
        <v>45163</v>
      </c>
      <c r="D588" s="5">
        <v>45193</v>
      </c>
      <c r="E588" s="3">
        <v>1413.73</v>
      </c>
      <c r="F588" t="s">
        <v>815</v>
      </c>
      <c r="G588" t="s">
        <v>816</v>
      </c>
      <c r="H588" s="5" t="s">
        <v>825</v>
      </c>
      <c r="I588" s="7">
        <f t="shared" si="9"/>
        <v>913</v>
      </c>
      <c r="J588" s="13" t="str" cm="1">
        <f t="array" ref="J588">_xlfn.IFS(I588=0, "Settled", I588&lt;=30, "1-30", I588&lt;=90, "31-90", I588&lt;=365, "91-365", I588&gt;365, "1 Year+")</f>
        <v>1 Year+</v>
      </c>
      <c r="K588" t="s">
        <v>819</v>
      </c>
      <c r="L588" s="3" cm="1">
        <f t="array" ref="L588">_xlfn.IFS(F588="AUD",E588*$V$2,F588="CAD",E588*$V$3,F588="EUR",E588*$V$4,F588="GBP",E588*$V$5,F588="USD",E588*$V$6)</f>
        <v>2049.9085</v>
      </c>
      <c r="M588" s="3" cm="1">
        <f t="array" ref="M588">_xlfn.IFS(G588="Paid", L588, G588="Partial", L588*0.5, G588="Open", 0)</f>
        <v>0</v>
      </c>
      <c r="N588" s="3" cm="1">
        <f t="array" ref="N588">_xlfn.IFS(G588="Open", L588, G588="Partial", L588*0.5, G588="Paid", 0)</f>
        <v>2049.9085</v>
      </c>
    </row>
    <row r="589" spans="1:14" x14ac:dyDescent="0.25">
      <c r="A589" t="s">
        <v>593</v>
      </c>
      <c r="B589" t="s">
        <v>808</v>
      </c>
      <c r="C589" s="5">
        <v>45230</v>
      </c>
      <c r="D589" s="5">
        <v>45260</v>
      </c>
      <c r="E589" s="3">
        <v>3386.32</v>
      </c>
      <c r="F589" t="s">
        <v>811</v>
      </c>
      <c r="G589" t="s">
        <v>818</v>
      </c>
      <c r="H589" s="5">
        <v>45260</v>
      </c>
      <c r="I589" s="7">
        <f t="shared" si="9"/>
        <v>0</v>
      </c>
      <c r="J589" s="13" t="str" cm="1">
        <f t="array" ref="J589">_xlfn.IFS(I589=0, "Settled", I589&lt;=30, "1-30", I589&lt;=90, "31-90", I589&lt;=365, "91-365", I589&gt;365, "1 Year+")</f>
        <v>Settled</v>
      </c>
      <c r="K589" t="s">
        <v>819</v>
      </c>
      <c r="L589" s="3" cm="1">
        <f t="array" ref="L589">_xlfn.IFS(F589="AUD",E589*$V$2,F589="CAD",E589*$V$3,F589="EUR",E589*$V$4,F589="GBP",E589*$V$5,F589="USD",E589*$V$6)</f>
        <v>2912.2352000000001</v>
      </c>
      <c r="M589" s="3" cm="1">
        <f t="array" ref="M589">_xlfn.IFS(G589="Paid", L589, G589="Partial", L589*0.5, G589="Open", 0)</f>
        <v>2912.2352000000001</v>
      </c>
      <c r="N589" s="3" cm="1">
        <f t="array" ref="N589">_xlfn.IFS(G589="Open", L589, G589="Partial", L589*0.5, G589="Paid", 0)</f>
        <v>0</v>
      </c>
    </row>
    <row r="590" spans="1:14" x14ac:dyDescent="0.25">
      <c r="A590" t="s">
        <v>594</v>
      </c>
      <c r="B590" t="s">
        <v>806</v>
      </c>
      <c r="C590" s="5">
        <v>45633</v>
      </c>
      <c r="D590" s="5">
        <v>45663</v>
      </c>
      <c r="E590" s="3">
        <v>3632.78</v>
      </c>
      <c r="F590" t="s">
        <v>814</v>
      </c>
      <c r="G590" t="s">
        <v>818</v>
      </c>
      <c r="H590" s="5">
        <v>45663</v>
      </c>
      <c r="I590" s="7">
        <f t="shared" si="9"/>
        <v>0</v>
      </c>
      <c r="J590" s="13" t="str" cm="1">
        <f t="array" ref="J590">_xlfn.IFS(I590=0, "Settled", I590&lt;=30, "1-30", I590&lt;=90, "31-90", I590&lt;=365, "91-365", I590&gt;365, "1 Year+")</f>
        <v>Settled</v>
      </c>
      <c r="K590" t="s">
        <v>819</v>
      </c>
      <c r="L590" s="3" cm="1">
        <f t="array" ref="L590">_xlfn.IFS(F590="AUD",E590*$V$2,F590="CAD",E590*$V$3,F590="EUR",E590*$V$4,F590="GBP",E590*$V$5,F590="USD",E590*$V$6)</f>
        <v>3632.78</v>
      </c>
      <c r="M590" s="3" cm="1">
        <f t="array" ref="M590">_xlfn.IFS(G590="Paid", L590, G590="Partial", L590*0.5, G590="Open", 0)</f>
        <v>3632.78</v>
      </c>
      <c r="N590" s="3" cm="1">
        <f t="array" ref="N590">_xlfn.IFS(G590="Open", L590, G590="Partial", L590*0.5, G590="Paid", 0)</f>
        <v>0</v>
      </c>
    </row>
    <row r="591" spans="1:14" x14ac:dyDescent="0.25">
      <c r="A591" t="s">
        <v>595</v>
      </c>
      <c r="B591" t="s">
        <v>810</v>
      </c>
      <c r="C591" s="5">
        <v>45474</v>
      </c>
      <c r="D591" s="5">
        <v>45504</v>
      </c>
      <c r="E591" s="3">
        <v>994.97</v>
      </c>
      <c r="F591" t="s">
        <v>812</v>
      </c>
      <c r="G591" t="s">
        <v>818</v>
      </c>
      <c r="H591" s="5">
        <v>45504</v>
      </c>
      <c r="I591" s="7">
        <f t="shared" si="9"/>
        <v>0</v>
      </c>
      <c r="J591" s="13" t="str" cm="1">
        <f t="array" ref="J591">_xlfn.IFS(I591=0, "Settled", I591&lt;=30, "1-30", I591&lt;=90, "31-90", I591&lt;=365, "91-365", I591&gt;365, "1 Year+")</f>
        <v>Settled</v>
      </c>
      <c r="K591" t="s">
        <v>819</v>
      </c>
      <c r="L591" s="3" cm="1">
        <f t="array" ref="L591">_xlfn.IFS(F591="AUD",E591*$V$2,F591="CAD",E591*$V$3,F591="EUR",E591*$V$4,F591="GBP",E591*$V$5,F591="USD",E591*$V$6)</f>
        <v>1373.0585999999998</v>
      </c>
      <c r="M591" s="3" cm="1">
        <f t="array" ref="M591">_xlfn.IFS(G591="Paid", L591, G591="Partial", L591*0.5, G591="Open", 0)</f>
        <v>1373.0585999999998</v>
      </c>
      <c r="N591" s="3" cm="1">
        <f t="array" ref="N591">_xlfn.IFS(G591="Open", L591, G591="Partial", L591*0.5, G591="Paid", 0)</f>
        <v>0</v>
      </c>
    </row>
    <row r="592" spans="1:14" x14ac:dyDescent="0.25">
      <c r="A592" t="s">
        <v>596</v>
      </c>
      <c r="B592" t="s">
        <v>810</v>
      </c>
      <c r="C592" s="5">
        <v>45282</v>
      </c>
      <c r="D592" s="5">
        <v>45312</v>
      </c>
      <c r="E592" s="3">
        <v>2164.98</v>
      </c>
      <c r="F592" t="s">
        <v>815</v>
      </c>
      <c r="G592" t="s">
        <v>818</v>
      </c>
      <c r="H592" s="5">
        <v>45312</v>
      </c>
      <c r="I592" s="7">
        <f t="shared" si="9"/>
        <v>0</v>
      </c>
      <c r="J592" s="13" t="str" cm="1">
        <f t="array" ref="J592">_xlfn.IFS(I592=0, "Settled", I592&lt;=30, "1-30", I592&lt;=90, "31-90", I592&lt;=365, "91-365", I592&gt;365, "1 Year+")</f>
        <v>Settled</v>
      </c>
      <c r="K592" t="s">
        <v>819</v>
      </c>
      <c r="L592" s="3" cm="1">
        <f t="array" ref="L592">_xlfn.IFS(F592="AUD",E592*$V$2,F592="CAD",E592*$V$3,F592="EUR",E592*$V$4,F592="GBP",E592*$V$5,F592="USD",E592*$V$6)</f>
        <v>3139.221</v>
      </c>
      <c r="M592" s="3" cm="1">
        <f t="array" ref="M592">_xlfn.IFS(G592="Paid", L592, G592="Partial", L592*0.5, G592="Open", 0)</f>
        <v>3139.221</v>
      </c>
      <c r="N592" s="3" cm="1">
        <f t="array" ref="N592">_xlfn.IFS(G592="Open", L592, G592="Partial", L592*0.5, G592="Paid", 0)</f>
        <v>0</v>
      </c>
    </row>
    <row r="593" spans="1:14" x14ac:dyDescent="0.25">
      <c r="A593" t="s">
        <v>597</v>
      </c>
      <c r="B593" t="s">
        <v>809</v>
      </c>
      <c r="C593" s="5">
        <v>45510</v>
      </c>
      <c r="D593" s="5">
        <v>45540</v>
      </c>
      <c r="E593" s="3">
        <v>3042.89</v>
      </c>
      <c r="F593" t="s">
        <v>815</v>
      </c>
      <c r="G593" t="s">
        <v>818</v>
      </c>
      <c r="H593" s="5">
        <v>45540</v>
      </c>
      <c r="I593" s="7">
        <f t="shared" si="9"/>
        <v>0</v>
      </c>
      <c r="J593" s="13" t="str" cm="1">
        <f t="array" ref="J593">_xlfn.IFS(I593=0, "Settled", I593&lt;=30, "1-30", I593&lt;=90, "31-90", I593&lt;=365, "91-365", I593&gt;365, "1 Year+")</f>
        <v>Settled</v>
      </c>
      <c r="K593" t="s">
        <v>819</v>
      </c>
      <c r="L593" s="3" cm="1">
        <f t="array" ref="L593">_xlfn.IFS(F593="AUD",E593*$V$2,F593="CAD",E593*$V$3,F593="EUR",E593*$V$4,F593="GBP",E593*$V$5,F593="USD",E593*$V$6)</f>
        <v>4412.1904999999997</v>
      </c>
      <c r="M593" s="3" cm="1">
        <f t="array" ref="M593">_xlfn.IFS(G593="Paid", L593, G593="Partial", L593*0.5, G593="Open", 0)</f>
        <v>4412.1904999999997</v>
      </c>
      <c r="N593" s="3" cm="1">
        <f t="array" ref="N593">_xlfn.IFS(G593="Open", L593, G593="Partial", L593*0.5, G593="Paid", 0)</f>
        <v>0</v>
      </c>
    </row>
    <row r="594" spans="1:14" x14ac:dyDescent="0.25">
      <c r="A594" t="s">
        <v>598</v>
      </c>
      <c r="B594" t="s">
        <v>806</v>
      </c>
      <c r="C594" s="5">
        <v>45245</v>
      </c>
      <c r="D594" s="5">
        <v>45275</v>
      </c>
      <c r="E594" s="3">
        <v>4101.79</v>
      </c>
      <c r="F594" t="s">
        <v>815</v>
      </c>
      <c r="G594" t="s">
        <v>818</v>
      </c>
      <c r="H594" s="5">
        <v>45275</v>
      </c>
      <c r="I594" s="7">
        <f t="shared" si="9"/>
        <v>0</v>
      </c>
      <c r="J594" s="13" t="str" cm="1">
        <f t="array" ref="J594">_xlfn.IFS(I594=0, "Settled", I594&lt;=30, "1-30", I594&lt;=90, "31-90", I594&lt;=365, "91-365", I594&gt;365, "1 Year+")</f>
        <v>Settled</v>
      </c>
      <c r="K594" t="s">
        <v>819</v>
      </c>
      <c r="L594" s="3" cm="1">
        <f t="array" ref="L594">_xlfn.IFS(F594="AUD",E594*$V$2,F594="CAD",E594*$V$3,F594="EUR",E594*$V$4,F594="GBP",E594*$V$5,F594="USD",E594*$V$6)</f>
        <v>5947.5954999999994</v>
      </c>
      <c r="M594" s="3" cm="1">
        <f t="array" ref="M594">_xlfn.IFS(G594="Paid", L594, G594="Partial", L594*0.5, G594="Open", 0)</f>
        <v>5947.5954999999994</v>
      </c>
      <c r="N594" s="3" cm="1">
        <f t="array" ref="N594">_xlfn.IFS(G594="Open", L594, G594="Partial", L594*0.5, G594="Paid", 0)</f>
        <v>0</v>
      </c>
    </row>
    <row r="595" spans="1:14" x14ac:dyDescent="0.25">
      <c r="A595" t="s">
        <v>599</v>
      </c>
      <c r="B595" t="s">
        <v>810</v>
      </c>
      <c r="C595" s="5">
        <v>45190</v>
      </c>
      <c r="D595" s="5">
        <v>45220</v>
      </c>
      <c r="E595" s="3">
        <v>3506.57</v>
      </c>
      <c r="F595" t="s">
        <v>813</v>
      </c>
      <c r="G595" t="s">
        <v>818</v>
      </c>
      <c r="H595" s="5">
        <v>45220</v>
      </c>
      <c r="I595" s="7">
        <f t="shared" si="9"/>
        <v>0</v>
      </c>
      <c r="J595" s="13" t="str" cm="1">
        <f t="array" ref="J595">_xlfn.IFS(I595=0, "Settled", I595&lt;=30, "1-30", I595&lt;=90, "31-90", I595&lt;=365, "91-365", I595&gt;365, "1 Year+")</f>
        <v>Settled</v>
      </c>
      <c r="K595" t="s">
        <v>819</v>
      </c>
      <c r="L595" s="3" cm="1">
        <f t="array" ref="L595">_xlfn.IFS(F595="AUD",E595*$V$2,F595="CAD",E595*$V$3,F595="EUR",E595*$V$4,F595="GBP",E595*$V$5,F595="USD",E595*$V$6)</f>
        <v>2629.9275000000002</v>
      </c>
      <c r="M595" s="3" cm="1">
        <f t="array" ref="M595">_xlfn.IFS(G595="Paid", L595, G595="Partial", L595*0.5, G595="Open", 0)</f>
        <v>2629.9275000000002</v>
      </c>
      <c r="N595" s="3" cm="1">
        <f t="array" ref="N595">_xlfn.IFS(G595="Open", L595, G595="Partial", L595*0.5, G595="Paid", 0)</f>
        <v>0</v>
      </c>
    </row>
    <row r="596" spans="1:14" x14ac:dyDescent="0.25">
      <c r="A596" t="s">
        <v>600</v>
      </c>
      <c r="B596" t="s">
        <v>810</v>
      </c>
      <c r="C596" s="5">
        <v>45797</v>
      </c>
      <c r="D596" s="5">
        <v>45827</v>
      </c>
      <c r="E596" s="3">
        <v>3352.25</v>
      </c>
      <c r="F596" t="s">
        <v>811</v>
      </c>
      <c r="G596" t="s">
        <v>817</v>
      </c>
      <c r="H596" s="5" t="s">
        <v>825</v>
      </c>
      <c r="I596" s="7">
        <f t="shared" si="9"/>
        <v>279</v>
      </c>
      <c r="J596" s="13" t="str" cm="1">
        <f t="array" ref="J596">_xlfn.IFS(I596=0, "Settled", I596&lt;=30, "1-30", I596&lt;=90, "31-90", I596&lt;=365, "91-365", I596&gt;365, "1 Year+")</f>
        <v>91-365</v>
      </c>
      <c r="K596" t="s">
        <v>819</v>
      </c>
      <c r="L596" s="3" cm="1">
        <f t="array" ref="L596">_xlfn.IFS(F596="AUD",E596*$V$2,F596="CAD",E596*$V$3,F596="EUR",E596*$V$4,F596="GBP",E596*$V$5,F596="USD",E596*$V$6)</f>
        <v>2882.9349999999999</v>
      </c>
      <c r="M596" s="3" cm="1">
        <f t="array" ref="M596">_xlfn.IFS(G596="Paid", L596, G596="Partial", L596*0.5, G596="Open", 0)</f>
        <v>1441.4675</v>
      </c>
      <c r="N596" s="3" cm="1">
        <f t="array" ref="N596">_xlfn.IFS(G596="Open", L596, G596="Partial", L596*0.5, G596="Paid", 0)</f>
        <v>1441.4675</v>
      </c>
    </row>
    <row r="597" spans="1:14" x14ac:dyDescent="0.25">
      <c r="A597" t="s">
        <v>601</v>
      </c>
      <c r="B597" t="s">
        <v>810</v>
      </c>
      <c r="C597" s="5">
        <v>45220</v>
      </c>
      <c r="D597" s="5">
        <v>45250</v>
      </c>
      <c r="E597" s="3">
        <v>940.15</v>
      </c>
      <c r="F597" t="s">
        <v>814</v>
      </c>
      <c r="G597" t="s">
        <v>816</v>
      </c>
      <c r="H597" s="5" t="s">
        <v>825</v>
      </c>
      <c r="I597" s="7">
        <f t="shared" si="9"/>
        <v>856</v>
      </c>
      <c r="J597" s="13" t="str" cm="1">
        <f t="array" ref="J597">_xlfn.IFS(I597=0, "Settled", I597&lt;=30, "1-30", I597&lt;=90, "31-90", I597&lt;=365, "91-365", I597&gt;365, "1 Year+")</f>
        <v>1 Year+</v>
      </c>
      <c r="K597" t="s">
        <v>819</v>
      </c>
      <c r="L597" s="3" cm="1">
        <f t="array" ref="L597">_xlfn.IFS(F597="AUD",E597*$V$2,F597="CAD",E597*$V$3,F597="EUR",E597*$V$4,F597="GBP",E597*$V$5,F597="USD",E597*$V$6)</f>
        <v>940.15</v>
      </c>
      <c r="M597" s="3" cm="1">
        <f t="array" ref="M597">_xlfn.IFS(G597="Paid", L597, G597="Partial", L597*0.5, G597="Open", 0)</f>
        <v>0</v>
      </c>
      <c r="N597" s="3" cm="1">
        <f t="array" ref="N597">_xlfn.IFS(G597="Open", L597, G597="Partial", L597*0.5, G597="Paid", 0)</f>
        <v>940.15</v>
      </c>
    </row>
    <row r="598" spans="1:14" x14ac:dyDescent="0.25">
      <c r="A598" t="s">
        <v>602</v>
      </c>
      <c r="B598" t="s">
        <v>806</v>
      </c>
      <c r="C598" s="5">
        <v>45162</v>
      </c>
      <c r="D598" s="5">
        <v>45192</v>
      </c>
      <c r="E598" s="3">
        <v>3505.16</v>
      </c>
      <c r="F598" t="s">
        <v>814</v>
      </c>
      <c r="G598" t="s">
        <v>816</v>
      </c>
      <c r="H598" s="5" t="s">
        <v>825</v>
      </c>
      <c r="I598" s="7">
        <f t="shared" si="9"/>
        <v>914</v>
      </c>
      <c r="J598" s="13" t="str" cm="1">
        <f t="array" ref="J598">_xlfn.IFS(I598=0, "Settled", I598&lt;=30, "1-30", I598&lt;=90, "31-90", I598&lt;=365, "91-365", I598&gt;365, "1 Year+")</f>
        <v>1 Year+</v>
      </c>
      <c r="K598" t="s">
        <v>819</v>
      </c>
      <c r="L598" s="3" cm="1">
        <f t="array" ref="L598">_xlfn.IFS(F598="AUD",E598*$V$2,F598="CAD",E598*$V$3,F598="EUR",E598*$V$4,F598="GBP",E598*$V$5,F598="USD",E598*$V$6)</f>
        <v>3505.16</v>
      </c>
      <c r="M598" s="3" cm="1">
        <f t="array" ref="M598">_xlfn.IFS(G598="Paid", L598, G598="Partial", L598*0.5, G598="Open", 0)</f>
        <v>0</v>
      </c>
      <c r="N598" s="3" cm="1">
        <f t="array" ref="N598">_xlfn.IFS(G598="Open", L598, G598="Partial", L598*0.5, G598="Paid", 0)</f>
        <v>3505.16</v>
      </c>
    </row>
    <row r="599" spans="1:14" x14ac:dyDescent="0.25">
      <c r="A599" t="s">
        <v>603</v>
      </c>
      <c r="B599" t="s">
        <v>809</v>
      </c>
      <c r="C599" s="5">
        <v>45420</v>
      </c>
      <c r="D599" s="5">
        <v>45450</v>
      </c>
      <c r="E599" s="3">
        <v>319.55</v>
      </c>
      <c r="F599" t="s">
        <v>811</v>
      </c>
      <c r="G599" t="s">
        <v>817</v>
      </c>
      <c r="H599" s="5" t="s">
        <v>825</v>
      </c>
      <c r="I599" s="7">
        <f t="shared" si="9"/>
        <v>656</v>
      </c>
      <c r="J599" s="13" t="str" cm="1">
        <f t="array" ref="J599">_xlfn.IFS(I599=0, "Settled", I599&lt;=30, "1-30", I599&lt;=90, "31-90", I599&lt;=365, "91-365", I599&gt;365, "1 Year+")</f>
        <v>1 Year+</v>
      </c>
      <c r="K599" t="s">
        <v>819</v>
      </c>
      <c r="L599" s="3" cm="1">
        <f t="array" ref="L599">_xlfn.IFS(F599="AUD",E599*$V$2,F599="CAD",E599*$V$3,F599="EUR",E599*$V$4,F599="GBP",E599*$V$5,F599="USD",E599*$V$6)</f>
        <v>274.81299999999999</v>
      </c>
      <c r="M599" s="3" cm="1">
        <f t="array" ref="M599">_xlfn.IFS(G599="Paid", L599, G599="Partial", L599*0.5, G599="Open", 0)</f>
        <v>137.40649999999999</v>
      </c>
      <c r="N599" s="3" cm="1">
        <f t="array" ref="N599">_xlfn.IFS(G599="Open", L599, G599="Partial", L599*0.5, G599="Paid", 0)</f>
        <v>137.40649999999999</v>
      </c>
    </row>
    <row r="600" spans="1:14" x14ac:dyDescent="0.25">
      <c r="A600" t="s">
        <v>604</v>
      </c>
      <c r="B600" t="s">
        <v>808</v>
      </c>
      <c r="C600" s="5">
        <v>45223</v>
      </c>
      <c r="D600" s="5">
        <v>45253</v>
      </c>
      <c r="E600" s="3">
        <v>1360.57</v>
      </c>
      <c r="F600" t="s">
        <v>812</v>
      </c>
      <c r="G600" t="s">
        <v>818</v>
      </c>
      <c r="H600" s="5">
        <v>45253</v>
      </c>
      <c r="I600" s="7">
        <f t="shared" si="9"/>
        <v>0</v>
      </c>
      <c r="J600" s="13" t="str" cm="1">
        <f t="array" ref="J600">_xlfn.IFS(I600=0, "Settled", I600&lt;=30, "1-30", I600&lt;=90, "31-90", I600&lt;=365, "91-365", I600&gt;365, "1 Year+")</f>
        <v>Settled</v>
      </c>
      <c r="K600" t="s">
        <v>819</v>
      </c>
      <c r="L600" s="3" cm="1">
        <f t="array" ref="L600">_xlfn.IFS(F600="AUD",E600*$V$2,F600="CAD",E600*$V$3,F600="EUR",E600*$V$4,F600="GBP",E600*$V$5,F600="USD",E600*$V$6)</f>
        <v>1877.5865999999999</v>
      </c>
      <c r="M600" s="3" cm="1">
        <f t="array" ref="M600">_xlfn.IFS(G600="Paid", L600, G600="Partial", L600*0.5, G600="Open", 0)</f>
        <v>1877.5865999999999</v>
      </c>
      <c r="N600" s="3" cm="1">
        <f t="array" ref="N600">_xlfn.IFS(G600="Open", L600, G600="Partial", L600*0.5, G600="Paid", 0)</f>
        <v>0</v>
      </c>
    </row>
    <row r="601" spans="1:14" x14ac:dyDescent="0.25">
      <c r="A601" t="s">
        <v>605</v>
      </c>
      <c r="B601" t="s">
        <v>808</v>
      </c>
      <c r="C601" s="5">
        <v>45277</v>
      </c>
      <c r="D601" s="5">
        <v>45307</v>
      </c>
      <c r="E601" s="3">
        <v>2177.67</v>
      </c>
      <c r="F601" t="s">
        <v>814</v>
      </c>
      <c r="G601" t="s">
        <v>818</v>
      </c>
      <c r="H601" s="5">
        <v>45307</v>
      </c>
      <c r="I601" s="7">
        <f t="shared" si="9"/>
        <v>0</v>
      </c>
      <c r="J601" s="13" t="str" cm="1">
        <f t="array" ref="J601">_xlfn.IFS(I601=0, "Settled", I601&lt;=30, "1-30", I601&lt;=90, "31-90", I601&lt;=365, "91-365", I601&gt;365, "1 Year+")</f>
        <v>Settled</v>
      </c>
      <c r="K601" t="s">
        <v>819</v>
      </c>
      <c r="L601" s="3" cm="1">
        <f t="array" ref="L601">_xlfn.IFS(F601="AUD",E601*$V$2,F601="CAD",E601*$V$3,F601="EUR",E601*$V$4,F601="GBP",E601*$V$5,F601="USD",E601*$V$6)</f>
        <v>2177.67</v>
      </c>
      <c r="M601" s="3" cm="1">
        <f t="array" ref="M601">_xlfn.IFS(G601="Paid", L601, G601="Partial", L601*0.5, G601="Open", 0)</f>
        <v>2177.67</v>
      </c>
      <c r="N601" s="3" cm="1">
        <f t="array" ref="N601">_xlfn.IFS(G601="Open", L601, G601="Partial", L601*0.5, G601="Paid", 0)</f>
        <v>0</v>
      </c>
    </row>
    <row r="602" spans="1:14" x14ac:dyDescent="0.25">
      <c r="A602" t="s">
        <v>606</v>
      </c>
      <c r="B602" t="s">
        <v>809</v>
      </c>
      <c r="C602" s="5">
        <v>45004</v>
      </c>
      <c r="D602" s="5">
        <v>45034</v>
      </c>
      <c r="E602" s="3">
        <v>203.9</v>
      </c>
      <c r="F602" t="s">
        <v>812</v>
      </c>
      <c r="G602" t="s">
        <v>816</v>
      </c>
      <c r="H602" s="5" t="s">
        <v>825</v>
      </c>
      <c r="I602" s="7">
        <f t="shared" si="9"/>
        <v>1072</v>
      </c>
      <c r="J602" s="13" t="str" cm="1">
        <f t="array" ref="J602">_xlfn.IFS(I602=0, "Settled", I602&lt;=30, "1-30", I602&lt;=90, "31-90", I602&lt;=365, "91-365", I602&gt;365, "1 Year+")</f>
        <v>1 Year+</v>
      </c>
      <c r="K602" t="s">
        <v>819</v>
      </c>
      <c r="L602" s="3" cm="1">
        <f t="array" ref="L602">_xlfn.IFS(F602="AUD",E602*$V$2,F602="CAD",E602*$V$3,F602="EUR",E602*$V$4,F602="GBP",E602*$V$5,F602="USD",E602*$V$6)</f>
        <v>281.38200000000001</v>
      </c>
      <c r="M602" s="3" cm="1">
        <f t="array" ref="M602">_xlfn.IFS(G602="Paid", L602, G602="Partial", L602*0.5, G602="Open", 0)</f>
        <v>0</v>
      </c>
      <c r="N602" s="3" cm="1">
        <f t="array" ref="N602">_xlfn.IFS(G602="Open", L602, G602="Partial", L602*0.5, G602="Paid", 0)</f>
        <v>281.38200000000001</v>
      </c>
    </row>
    <row r="603" spans="1:14" x14ac:dyDescent="0.25">
      <c r="A603" t="s">
        <v>607</v>
      </c>
      <c r="B603" t="s">
        <v>806</v>
      </c>
      <c r="C603" s="5">
        <v>45227</v>
      </c>
      <c r="D603" s="5">
        <v>45257</v>
      </c>
      <c r="E603" s="3">
        <v>868.73</v>
      </c>
      <c r="F603" t="s">
        <v>815</v>
      </c>
      <c r="G603" t="s">
        <v>818</v>
      </c>
      <c r="H603" s="5">
        <v>45257</v>
      </c>
      <c r="I603" s="7">
        <f t="shared" si="9"/>
        <v>0</v>
      </c>
      <c r="J603" s="13" t="str" cm="1">
        <f t="array" ref="J603">_xlfn.IFS(I603=0, "Settled", I603&lt;=30, "1-30", I603&lt;=90, "31-90", I603&lt;=365, "91-365", I603&gt;365, "1 Year+")</f>
        <v>Settled</v>
      </c>
      <c r="K603" t="s">
        <v>819</v>
      </c>
      <c r="L603" s="3" cm="1">
        <f t="array" ref="L603">_xlfn.IFS(F603="AUD",E603*$V$2,F603="CAD",E603*$V$3,F603="EUR",E603*$V$4,F603="GBP",E603*$V$5,F603="USD",E603*$V$6)</f>
        <v>1259.6585</v>
      </c>
      <c r="M603" s="3" cm="1">
        <f t="array" ref="M603">_xlfn.IFS(G603="Paid", L603, G603="Partial", L603*0.5, G603="Open", 0)</f>
        <v>1259.6585</v>
      </c>
      <c r="N603" s="3" cm="1">
        <f t="array" ref="N603">_xlfn.IFS(G603="Open", L603, G603="Partial", L603*0.5, G603="Paid", 0)</f>
        <v>0</v>
      </c>
    </row>
    <row r="604" spans="1:14" x14ac:dyDescent="0.25">
      <c r="A604" t="s">
        <v>608</v>
      </c>
      <c r="B604" t="s">
        <v>810</v>
      </c>
      <c r="C604" s="5">
        <v>45082</v>
      </c>
      <c r="D604" s="5">
        <v>45112</v>
      </c>
      <c r="E604" s="3">
        <v>283.51</v>
      </c>
      <c r="F604" t="s">
        <v>815</v>
      </c>
      <c r="G604" t="s">
        <v>816</v>
      </c>
      <c r="H604" s="5" t="s">
        <v>825</v>
      </c>
      <c r="I604" s="7">
        <f t="shared" si="9"/>
        <v>994</v>
      </c>
      <c r="J604" s="13" t="str" cm="1">
        <f t="array" ref="J604">_xlfn.IFS(I604=0, "Settled", I604&lt;=30, "1-30", I604&lt;=90, "31-90", I604&lt;=365, "91-365", I604&gt;365, "1 Year+")</f>
        <v>1 Year+</v>
      </c>
      <c r="K604" t="s">
        <v>819</v>
      </c>
      <c r="L604" s="3" cm="1">
        <f t="array" ref="L604">_xlfn.IFS(F604="AUD",E604*$V$2,F604="CAD",E604*$V$3,F604="EUR",E604*$V$4,F604="GBP",E604*$V$5,F604="USD",E604*$V$6)</f>
        <v>411.08949999999999</v>
      </c>
      <c r="M604" s="3" cm="1">
        <f t="array" ref="M604">_xlfn.IFS(G604="Paid", L604, G604="Partial", L604*0.5, G604="Open", 0)</f>
        <v>0</v>
      </c>
      <c r="N604" s="3" cm="1">
        <f t="array" ref="N604">_xlfn.IFS(G604="Open", L604, G604="Partial", L604*0.5, G604="Paid", 0)</f>
        <v>411.08949999999999</v>
      </c>
    </row>
    <row r="605" spans="1:14" x14ac:dyDescent="0.25">
      <c r="A605" t="s">
        <v>609</v>
      </c>
      <c r="B605" t="s">
        <v>807</v>
      </c>
      <c r="C605" s="5">
        <v>45625</v>
      </c>
      <c r="D605" s="5">
        <v>45655</v>
      </c>
      <c r="E605" s="3">
        <v>1373.89</v>
      </c>
      <c r="F605" t="s">
        <v>814</v>
      </c>
      <c r="G605" t="s">
        <v>817</v>
      </c>
      <c r="H605" s="5" t="s">
        <v>825</v>
      </c>
      <c r="I605" s="7">
        <f t="shared" si="9"/>
        <v>451</v>
      </c>
      <c r="J605" s="13" t="str" cm="1">
        <f t="array" ref="J605">_xlfn.IFS(I605=0, "Settled", I605&lt;=30, "1-30", I605&lt;=90, "31-90", I605&lt;=365, "91-365", I605&gt;365, "1 Year+")</f>
        <v>1 Year+</v>
      </c>
      <c r="K605" t="s">
        <v>819</v>
      </c>
      <c r="L605" s="3" cm="1">
        <f t="array" ref="L605">_xlfn.IFS(F605="AUD",E605*$V$2,F605="CAD",E605*$V$3,F605="EUR",E605*$V$4,F605="GBP",E605*$V$5,F605="USD",E605*$V$6)</f>
        <v>1373.89</v>
      </c>
      <c r="M605" s="3" cm="1">
        <f t="array" ref="M605">_xlfn.IFS(G605="Paid", L605, G605="Partial", L605*0.5, G605="Open", 0)</f>
        <v>686.94500000000005</v>
      </c>
      <c r="N605" s="3" cm="1">
        <f t="array" ref="N605">_xlfn.IFS(G605="Open", L605, G605="Partial", L605*0.5, G605="Paid", 0)</f>
        <v>686.94500000000005</v>
      </c>
    </row>
    <row r="606" spans="1:14" x14ac:dyDescent="0.25">
      <c r="A606" t="s">
        <v>610</v>
      </c>
      <c r="B606" t="s">
        <v>806</v>
      </c>
      <c r="C606" s="5">
        <v>45794</v>
      </c>
      <c r="D606" s="5">
        <v>45824</v>
      </c>
      <c r="E606" s="3">
        <v>1032.8399999999999</v>
      </c>
      <c r="F606" t="s">
        <v>814</v>
      </c>
      <c r="G606" t="s">
        <v>817</v>
      </c>
      <c r="H606" s="5" t="s">
        <v>825</v>
      </c>
      <c r="I606" s="7">
        <f t="shared" si="9"/>
        <v>282</v>
      </c>
      <c r="J606" s="13" t="str" cm="1">
        <f t="array" ref="J606">_xlfn.IFS(I606=0, "Settled", I606&lt;=30, "1-30", I606&lt;=90, "31-90", I606&lt;=365, "91-365", I606&gt;365, "1 Year+")</f>
        <v>91-365</v>
      </c>
      <c r="K606" t="s">
        <v>819</v>
      </c>
      <c r="L606" s="3" cm="1">
        <f t="array" ref="L606">_xlfn.IFS(F606="AUD",E606*$V$2,F606="CAD",E606*$V$3,F606="EUR",E606*$V$4,F606="GBP",E606*$V$5,F606="USD",E606*$V$6)</f>
        <v>1032.8399999999999</v>
      </c>
      <c r="M606" s="3" cm="1">
        <f t="array" ref="M606">_xlfn.IFS(G606="Paid", L606, G606="Partial", L606*0.5, G606="Open", 0)</f>
        <v>516.41999999999996</v>
      </c>
      <c r="N606" s="3" cm="1">
        <f t="array" ref="N606">_xlfn.IFS(G606="Open", L606, G606="Partial", L606*0.5, G606="Paid", 0)</f>
        <v>516.41999999999996</v>
      </c>
    </row>
    <row r="607" spans="1:14" x14ac:dyDescent="0.25">
      <c r="A607" t="s">
        <v>611</v>
      </c>
      <c r="B607" t="s">
        <v>808</v>
      </c>
      <c r="C607" s="5">
        <v>45623</v>
      </c>
      <c r="D607" s="5">
        <v>45653</v>
      </c>
      <c r="E607" s="3">
        <v>389.67</v>
      </c>
      <c r="F607" t="s">
        <v>813</v>
      </c>
      <c r="G607" t="s">
        <v>817</v>
      </c>
      <c r="H607" s="5" t="s">
        <v>825</v>
      </c>
      <c r="I607" s="7">
        <f t="shared" si="9"/>
        <v>453</v>
      </c>
      <c r="J607" s="13" t="str" cm="1">
        <f t="array" ref="J607">_xlfn.IFS(I607=0, "Settled", I607&lt;=30, "1-30", I607&lt;=90, "31-90", I607&lt;=365, "91-365", I607&gt;365, "1 Year+")</f>
        <v>1 Year+</v>
      </c>
      <c r="K607" t="s">
        <v>819</v>
      </c>
      <c r="L607" s="3" cm="1">
        <f t="array" ref="L607">_xlfn.IFS(F607="AUD",E607*$V$2,F607="CAD",E607*$V$3,F607="EUR",E607*$V$4,F607="GBP",E607*$V$5,F607="USD",E607*$V$6)</f>
        <v>292.2525</v>
      </c>
      <c r="M607" s="3" cm="1">
        <f t="array" ref="M607">_xlfn.IFS(G607="Paid", L607, G607="Partial", L607*0.5, G607="Open", 0)</f>
        <v>146.12625</v>
      </c>
      <c r="N607" s="3" cm="1">
        <f t="array" ref="N607">_xlfn.IFS(G607="Open", L607, G607="Partial", L607*0.5, G607="Paid", 0)</f>
        <v>146.12625</v>
      </c>
    </row>
    <row r="608" spans="1:14" x14ac:dyDescent="0.25">
      <c r="A608" t="s">
        <v>612</v>
      </c>
      <c r="B608" t="s">
        <v>806</v>
      </c>
      <c r="C608" s="5">
        <v>44988</v>
      </c>
      <c r="D608" s="5">
        <v>45018</v>
      </c>
      <c r="E608" s="3">
        <v>3748.86</v>
      </c>
      <c r="F608" t="s">
        <v>811</v>
      </c>
      <c r="G608" t="s">
        <v>817</v>
      </c>
      <c r="H608" s="5" t="s">
        <v>825</v>
      </c>
      <c r="I608" s="7">
        <f t="shared" si="9"/>
        <v>1088</v>
      </c>
      <c r="J608" s="13" t="str" cm="1">
        <f t="array" ref="J608">_xlfn.IFS(I608=0, "Settled", I608&lt;=30, "1-30", I608&lt;=90, "31-90", I608&lt;=365, "91-365", I608&gt;365, "1 Year+")</f>
        <v>1 Year+</v>
      </c>
      <c r="K608" t="s">
        <v>819</v>
      </c>
      <c r="L608" s="3" cm="1">
        <f t="array" ref="L608">_xlfn.IFS(F608="AUD",E608*$V$2,F608="CAD",E608*$V$3,F608="EUR",E608*$V$4,F608="GBP",E608*$V$5,F608="USD",E608*$V$6)</f>
        <v>3224.0196000000001</v>
      </c>
      <c r="M608" s="3" cm="1">
        <f t="array" ref="M608">_xlfn.IFS(G608="Paid", L608, G608="Partial", L608*0.5, G608="Open", 0)</f>
        <v>1612.0098</v>
      </c>
      <c r="N608" s="3" cm="1">
        <f t="array" ref="N608">_xlfn.IFS(G608="Open", L608, G608="Partial", L608*0.5, G608="Paid", 0)</f>
        <v>1612.0098</v>
      </c>
    </row>
    <row r="609" spans="1:14" x14ac:dyDescent="0.25">
      <c r="A609" t="s">
        <v>613</v>
      </c>
      <c r="B609" t="s">
        <v>810</v>
      </c>
      <c r="C609" s="5">
        <v>45635</v>
      </c>
      <c r="D609" s="5">
        <v>45665</v>
      </c>
      <c r="E609" s="3">
        <v>4546.88</v>
      </c>
      <c r="F609" t="s">
        <v>814</v>
      </c>
      <c r="G609" t="s">
        <v>816</v>
      </c>
      <c r="H609" s="5" t="s">
        <v>825</v>
      </c>
      <c r="I609" s="7">
        <f t="shared" si="9"/>
        <v>441</v>
      </c>
      <c r="J609" s="13" t="str" cm="1">
        <f t="array" ref="J609">_xlfn.IFS(I609=0, "Settled", I609&lt;=30, "1-30", I609&lt;=90, "31-90", I609&lt;=365, "91-365", I609&gt;365, "1 Year+")</f>
        <v>1 Year+</v>
      </c>
      <c r="K609" t="s">
        <v>819</v>
      </c>
      <c r="L609" s="3" cm="1">
        <f t="array" ref="L609">_xlfn.IFS(F609="AUD",E609*$V$2,F609="CAD",E609*$V$3,F609="EUR",E609*$V$4,F609="GBP",E609*$V$5,F609="USD",E609*$V$6)</f>
        <v>4546.88</v>
      </c>
      <c r="M609" s="3" cm="1">
        <f t="array" ref="M609">_xlfn.IFS(G609="Paid", L609, G609="Partial", L609*0.5, G609="Open", 0)</f>
        <v>0</v>
      </c>
      <c r="N609" s="3" cm="1">
        <f t="array" ref="N609">_xlfn.IFS(G609="Open", L609, G609="Partial", L609*0.5, G609="Paid", 0)</f>
        <v>4546.88</v>
      </c>
    </row>
    <row r="610" spans="1:14" x14ac:dyDescent="0.25">
      <c r="A610" t="s">
        <v>614</v>
      </c>
      <c r="B610" t="s">
        <v>809</v>
      </c>
      <c r="C610" s="5">
        <v>45299</v>
      </c>
      <c r="D610" s="5">
        <v>45329</v>
      </c>
      <c r="E610" s="3">
        <v>3439.51</v>
      </c>
      <c r="F610" t="s">
        <v>815</v>
      </c>
      <c r="G610" t="s">
        <v>817</v>
      </c>
      <c r="H610" s="5" t="s">
        <v>825</v>
      </c>
      <c r="I610" s="7">
        <f t="shared" si="9"/>
        <v>777</v>
      </c>
      <c r="J610" s="13" t="str" cm="1">
        <f t="array" ref="J610">_xlfn.IFS(I610=0, "Settled", I610&lt;=30, "1-30", I610&lt;=90, "31-90", I610&lt;=365, "91-365", I610&gt;365, "1 Year+")</f>
        <v>1 Year+</v>
      </c>
      <c r="K610" t="s">
        <v>819</v>
      </c>
      <c r="L610" s="3" cm="1">
        <f t="array" ref="L610">_xlfn.IFS(F610="AUD",E610*$V$2,F610="CAD",E610*$V$3,F610="EUR",E610*$V$4,F610="GBP",E610*$V$5,F610="USD",E610*$V$6)</f>
        <v>4987.2894999999999</v>
      </c>
      <c r="M610" s="3" cm="1">
        <f t="array" ref="M610">_xlfn.IFS(G610="Paid", L610, G610="Partial", L610*0.5, G610="Open", 0)</f>
        <v>2493.6447499999999</v>
      </c>
      <c r="N610" s="3" cm="1">
        <f t="array" ref="N610">_xlfn.IFS(G610="Open", L610, G610="Partial", L610*0.5, G610="Paid", 0)</f>
        <v>2493.6447499999999</v>
      </c>
    </row>
    <row r="611" spans="1:14" x14ac:dyDescent="0.25">
      <c r="A611" t="s">
        <v>615</v>
      </c>
      <c r="B611" t="s">
        <v>810</v>
      </c>
      <c r="C611" s="5">
        <v>44976</v>
      </c>
      <c r="D611" s="5">
        <v>45006</v>
      </c>
      <c r="E611" s="3">
        <v>3319.57</v>
      </c>
      <c r="F611" t="s">
        <v>813</v>
      </c>
      <c r="G611" t="s">
        <v>816</v>
      </c>
      <c r="H611" s="5" t="s">
        <v>825</v>
      </c>
      <c r="I611" s="7">
        <f t="shared" si="9"/>
        <v>1100</v>
      </c>
      <c r="J611" s="13" t="str" cm="1">
        <f t="array" ref="J611">_xlfn.IFS(I611=0, "Settled", I611&lt;=30, "1-30", I611&lt;=90, "31-90", I611&lt;=365, "91-365", I611&gt;365, "1 Year+")</f>
        <v>1 Year+</v>
      </c>
      <c r="K611" t="s">
        <v>819</v>
      </c>
      <c r="L611" s="3" cm="1">
        <f t="array" ref="L611">_xlfn.IFS(F611="AUD",E611*$V$2,F611="CAD",E611*$V$3,F611="EUR",E611*$V$4,F611="GBP",E611*$V$5,F611="USD",E611*$V$6)</f>
        <v>2489.6775000000002</v>
      </c>
      <c r="M611" s="3" cm="1">
        <f t="array" ref="M611">_xlfn.IFS(G611="Paid", L611, G611="Partial", L611*0.5, G611="Open", 0)</f>
        <v>0</v>
      </c>
      <c r="N611" s="3" cm="1">
        <f t="array" ref="N611">_xlfn.IFS(G611="Open", L611, G611="Partial", L611*0.5, G611="Paid", 0)</f>
        <v>2489.6775000000002</v>
      </c>
    </row>
    <row r="612" spans="1:14" x14ac:dyDescent="0.25">
      <c r="A612" t="s">
        <v>616</v>
      </c>
      <c r="B612" t="s">
        <v>809</v>
      </c>
      <c r="C612" s="5">
        <v>44929</v>
      </c>
      <c r="D612" s="5">
        <v>44959</v>
      </c>
      <c r="E612" s="3">
        <v>3057.93</v>
      </c>
      <c r="F612" t="s">
        <v>812</v>
      </c>
      <c r="G612" t="s">
        <v>818</v>
      </c>
      <c r="H612" s="5">
        <v>44959</v>
      </c>
      <c r="I612" s="7">
        <f t="shared" si="9"/>
        <v>0</v>
      </c>
      <c r="J612" s="13" t="str" cm="1">
        <f t="array" ref="J612">_xlfn.IFS(I612=0, "Settled", I612&lt;=30, "1-30", I612&lt;=90, "31-90", I612&lt;=365, "91-365", I612&gt;365, "1 Year+")</f>
        <v>Settled</v>
      </c>
      <c r="K612" t="s">
        <v>819</v>
      </c>
      <c r="L612" s="3" cm="1">
        <f t="array" ref="L612">_xlfn.IFS(F612="AUD",E612*$V$2,F612="CAD",E612*$V$3,F612="EUR",E612*$V$4,F612="GBP",E612*$V$5,F612="USD",E612*$V$6)</f>
        <v>4219.9433999999992</v>
      </c>
      <c r="M612" s="3" cm="1">
        <f t="array" ref="M612">_xlfn.IFS(G612="Paid", L612, G612="Partial", L612*0.5, G612="Open", 0)</f>
        <v>4219.9433999999992</v>
      </c>
      <c r="N612" s="3" cm="1">
        <f t="array" ref="N612">_xlfn.IFS(G612="Open", L612, G612="Partial", L612*0.5, G612="Paid", 0)</f>
        <v>0</v>
      </c>
    </row>
    <row r="613" spans="1:14" x14ac:dyDescent="0.25">
      <c r="A613" t="s">
        <v>617</v>
      </c>
      <c r="B613" t="s">
        <v>808</v>
      </c>
      <c r="C613" s="5">
        <v>45495</v>
      </c>
      <c r="D613" s="5">
        <v>45525</v>
      </c>
      <c r="E613" s="3">
        <v>1043.05</v>
      </c>
      <c r="F613" t="s">
        <v>815</v>
      </c>
      <c r="G613" t="s">
        <v>817</v>
      </c>
      <c r="H613" s="5" t="s">
        <v>825</v>
      </c>
      <c r="I613" s="7">
        <f t="shared" si="9"/>
        <v>581</v>
      </c>
      <c r="J613" s="13" t="str" cm="1">
        <f t="array" ref="J613">_xlfn.IFS(I613=0, "Settled", I613&lt;=30, "1-30", I613&lt;=90, "31-90", I613&lt;=365, "91-365", I613&gt;365, "1 Year+")</f>
        <v>1 Year+</v>
      </c>
      <c r="K613" t="s">
        <v>819</v>
      </c>
      <c r="L613" s="3" cm="1">
        <f t="array" ref="L613">_xlfn.IFS(F613="AUD",E613*$V$2,F613="CAD",E613*$V$3,F613="EUR",E613*$V$4,F613="GBP",E613*$V$5,F613="USD",E613*$V$6)</f>
        <v>1512.4224999999999</v>
      </c>
      <c r="M613" s="3" cm="1">
        <f t="array" ref="M613">_xlfn.IFS(G613="Paid", L613, G613="Partial", L613*0.5, G613="Open", 0)</f>
        <v>756.21124999999995</v>
      </c>
      <c r="N613" s="3" cm="1">
        <f t="array" ref="N613">_xlfn.IFS(G613="Open", L613, G613="Partial", L613*0.5, G613="Paid", 0)</f>
        <v>756.21124999999995</v>
      </c>
    </row>
    <row r="614" spans="1:14" x14ac:dyDescent="0.25">
      <c r="A614" t="s">
        <v>618</v>
      </c>
      <c r="B614" t="s">
        <v>809</v>
      </c>
      <c r="C614" s="5">
        <v>45401</v>
      </c>
      <c r="D614" s="5">
        <v>45431</v>
      </c>
      <c r="E614" s="3">
        <v>1216.7</v>
      </c>
      <c r="F614" t="s">
        <v>813</v>
      </c>
      <c r="G614" t="s">
        <v>816</v>
      </c>
      <c r="H614" s="5" t="s">
        <v>825</v>
      </c>
      <c r="I614" s="7">
        <f t="shared" si="9"/>
        <v>675</v>
      </c>
      <c r="J614" s="13" t="str" cm="1">
        <f t="array" ref="J614">_xlfn.IFS(I614=0, "Settled", I614&lt;=30, "1-30", I614&lt;=90, "31-90", I614&lt;=365, "91-365", I614&gt;365, "1 Year+")</f>
        <v>1 Year+</v>
      </c>
      <c r="K614" t="s">
        <v>819</v>
      </c>
      <c r="L614" s="3" cm="1">
        <f t="array" ref="L614">_xlfn.IFS(F614="AUD",E614*$V$2,F614="CAD",E614*$V$3,F614="EUR",E614*$V$4,F614="GBP",E614*$V$5,F614="USD",E614*$V$6)</f>
        <v>912.52500000000009</v>
      </c>
      <c r="M614" s="3" cm="1">
        <f t="array" ref="M614">_xlfn.IFS(G614="Paid", L614, G614="Partial", L614*0.5, G614="Open", 0)</f>
        <v>0</v>
      </c>
      <c r="N614" s="3" cm="1">
        <f t="array" ref="N614">_xlfn.IFS(G614="Open", L614, G614="Partial", L614*0.5, G614="Paid", 0)</f>
        <v>912.52500000000009</v>
      </c>
    </row>
    <row r="615" spans="1:14" x14ac:dyDescent="0.25">
      <c r="A615" t="s">
        <v>619</v>
      </c>
      <c r="B615" t="s">
        <v>810</v>
      </c>
      <c r="C615" s="5">
        <v>45085</v>
      </c>
      <c r="D615" s="5">
        <v>45115</v>
      </c>
      <c r="E615" s="3">
        <v>1242.77</v>
      </c>
      <c r="F615" t="s">
        <v>815</v>
      </c>
      <c r="G615" t="s">
        <v>816</v>
      </c>
      <c r="H615" s="5" t="s">
        <v>825</v>
      </c>
      <c r="I615" s="7">
        <f t="shared" si="9"/>
        <v>991</v>
      </c>
      <c r="J615" s="13" t="str" cm="1">
        <f t="array" ref="J615">_xlfn.IFS(I615=0, "Settled", I615&lt;=30, "1-30", I615&lt;=90, "31-90", I615&lt;=365, "91-365", I615&gt;365, "1 Year+")</f>
        <v>1 Year+</v>
      </c>
      <c r="K615" t="s">
        <v>819</v>
      </c>
      <c r="L615" s="3" cm="1">
        <f t="array" ref="L615">_xlfn.IFS(F615="AUD",E615*$V$2,F615="CAD",E615*$V$3,F615="EUR",E615*$V$4,F615="GBP",E615*$V$5,F615="USD",E615*$V$6)</f>
        <v>1802.0165</v>
      </c>
      <c r="M615" s="3" cm="1">
        <f t="array" ref="M615">_xlfn.IFS(G615="Paid", L615, G615="Partial", L615*0.5, G615="Open", 0)</f>
        <v>0</v>
      </c>
      <c r="N615" s="3" cm="1">
        <f t="array" ref="N615">_xlfn.IFS(G615="Open", L615, G615="Partial", L615*0.5, G615="Paid", 0)</f>
        <v>1802.0165</v>
      </c>
    </row>
    <row r="616" spans="1:14" x14ac:dyDescent="0.25">
      <c r="A616" t="s">
        <v>620</v>
      </c>
      <c r="B616" t="s">
        <v>809</v>
      </c>
      <c r="C616" s="5">
        <v>44943</v>
      </c>
      <c r="D616" s="5">
        <v>44973</v>
      </c>
      <c r="E616" s="3">
        <v>1253.18</v>
      </c>
      <c r="F616" t="s">
        <v>811</v>
      </c>
      <c r="G616" t="s">
        <v>816</v>
      </c>
      <c r="H616" s="5" t="s">
        <v>825</v>
      </c>
      <c r="I616" s="7">
        <f t="shared" si="9"/>
        <v>1133</v>
      </c>
      <c r="J616" s="13" t="str" cm="1">
        <f t="array" ref="J616">_xlfn.IFS(I616=0, "Settled", I616&lt;=30, "1-30", I616&lt;=90, "31-90", I616&lt;=365, "91-365", I616&gt;365, "1 Year+")</f>
        <v>1 Year+</v>
      </c>
      <c r="K616" t="s">
        <v>819</v>
      </c>
      <c r="L616" s="3" cm="1">
        <f t="array" ref="L616">_xlfn.IFS(F616="AUD",E616*$V$2,F616="CAD",E616*$V$3,F616="EUR",E616*$V$4,F616="GBP",E616*$V$5,F616="USD",E616*$V$6)</f>
        <v>1077.7348</v>
      </c>
      <c r="M616" s="3" cm="1">
        <f t="array" ref="M616">_xlfn.IFS(G616="Paid", L616, G616="Partial", L616*0.5, G616="Open", 0)</f>
        <v>0</v>
      </c>
      <c r="N616" s="3" cm="1">
        <f t="array" ref="N616">_xlfn.IFS(G616="Open", L616, G616="Partial", L616*0.5, G616="Paid", 0)</f>
        <v>1077.7348</v>
      </c>
    </row>
    <row r="617" spans="1:14" x14ac:dyDescent="0.25">
      <c r="A617" t="s">
        <v>621</v>
      </c>
      <c r="B617" t="s">
        <v>808</v>
      </c>
      <c r="C617" s="5">
        <v>45278</v>
      </c>
      <c r="D617" s="5">
        <v>45308</v>
      </c>
      <c r="E617" s="3">
        <v>1423.03</v>
      </c>
      <c r="F617" t="s">
        <v>813</v>
      </c>
      <c r="G617" t="s">
        <v>816</v>
      </c>
      <c r="H617" s="5" t="s">
        <v>825</v>
      </c>
      <c r="I617" s="7">
        <f t="shared" si="9"/>
        <v>798</v>
      </c>
      <c r="J617" s="13" t="str" cm="1">
        <f t="array" ref="J617">_xlfn.IFS(I617=0, "Settled", I617&lt;=30, "1-30", I617&lt;=90, "31-90", I617&lt;=365, "91-365", I617&gt;365, "1 Year+")</f>
        <v>1 Year+</v>
      </c>
      <c r="K617" t="s">
        <v>819</v>
      </c>
      <c r="L617" s="3" cm="1">
        <f t="array" ref="L617">_xlfn.IFS(F617="AUD",E617*$V$2,F617="CAD",E617*$V$3,F617="EUR",E617*$V$4,F617="GBP",E617*$V$5,F617="USD",E617*$V$6)</f>
        <v>1067.2725</v>
      </c>
      <c r="M617" s="3" cm="1">
        <f t="array" ref="M617">_xlfn.IFS(G617="Paid", L617, G617="Partial", L617*0.5, G617="Open", 0)</f>
        <v>0</v>
      </c>
      <c r="N617" s="3" cm="1">
        <f t="array" ref="N617">_xlfn.IFS(G617="Open", L617, G617="Partial", L617*0.5, G617="Paid", 0)</f>
        <v>1067.2725</v>
      </c>
    </row>
    <row r="618" spans="1:14" x14ac:dyDescent="0.25">
      <c r="A618" t="s">
        <v>622</v>
      </c>
      <c r="B618" t="s">
        <v>809</v>
      </c>
      <c r="C618" s="5">
        <v>44940</v>
      </c>
      <c r="D618" s="5">
        <v>44970</v>
      </c>
      <c r="E618" s="3">
        <v>908.37</v>
      </c>
      <c r="F618" t="s">
        <v>811</v>
      </c>
      <c r="G618" t="s">
        <v>818</v>
      </c>
      <c r="H618" s="5">
        <v>44970</v>
      </c>
      <c r="I618" s="7">
        <f t="shared" si="9"/>
        <v>0</v>
      </c>
      <c r="J618" s="13" t="str" cm="1">
        <f t="array" ref="J618">_xlfn.IFS(I618=0, "Settled", I618&lt;=30, "1-30", I618&lt;=90, "31-90", I618&lt;=365, "91-365", I618&gt;365, "1 Year+")</f>
        <v>Settled</v>
      </c>
      <c r="K618" t="s">
        <v>819</v>
      </c>
      <c r="L618" s="3" cm="1">
        <f t="array" ref="L618">_xlfn.IFS(F618="AUD",E618*$V$2,F618="CAD",E618*$V$3,F618="EUR",E618*$V$4,F618="GBP",E618*$V$5,F618="USD",E618*$V$6)</f>
        <v>781.19820000000004</v>
      </c>
      <c r="M618" s="3" cm="1">
        <f t="array" ref="M618">_xlfn.IFS(G618="Paid", L618, G618="Partial", L618*0.5, G618="Open", 0)</f>
        <v>781.19820000000004</v>
      </c>
      <c r="N618" s="3" cm="1">
        <f t="array" ref="N618">_xlfn.IFS(G618="Open", L618, G618="Partial", L618*0.5, G618="Paid", 0)</f>
        <v>0</v>
      </c>
    </row>
    <row r="619" spans="1:14" x14ac:dyDescent="0.25">
      <c r="A619" t="s">
        <v>623</v>
      </c>
      <c r="B619" t="s">
        <v>806</v>
      </c>
      <c r="C619" s="5">
        <v>45607</v>
      </c>
      <c r="D619" s="5">
        <v>45637</v>
      </c>
      <c r="E619" s="3">
        <v>4103.24</v>
      </c>
      <c r="F619" t="s">
        <v>813</v>
      </c>
      <c r="G619" t="s">
        <v>816</v>
      </c>
      <c r="H619" s="5" t="s">
        <v>825</v>
      </c>
      <c r="I619" s="7">
        <f t="shared" si="9"/>
        <v>469</v>
      </c>
      <c r="J619" s="13" t="str" cm="1">
        <f t="array" ref="J619">_xlfn.IFS(I619=0, "Settled", I619&lt;=30, "1-30", I619&lt;=90, "31-90", I619&lt;=365, "91-365", I619&gt;365, "1 Year+")</f>
        <v>1 Year+</v>
      </c>
      <c r="K619" t="s">
        <v>819</v>
      </c>
      <c r="L619" s="3" cm="1">
        <f t="array" ref="L619">_xlfn.IFS(F619="AUD",E619*$V$2,F619="CAD",E619*$V$3,F619="EUR",E619*$V$4,F619="GBP",E619*$V$5,F619="USD",E619*$V$6)</f>
        <v>3077.43</v>
      </c>
      <c r="M619" s="3" cm="1">
        <f t="array" ref="M619">_xlfn.IFS(G619="Paid", L619, G619="Partial", L619*0.5, G619="Open", 0)</f>
        <v>0</v>
      </c>
      <c r="N619" s="3" cm="1">
        <f t="array" ref="N619">_xlfn.IFS(G619="Open", L619, G619="Partial", L619*0.5, G619="Paid", 0)</f>
        <v>3077.43</v>
      </c>
    </row>
    <row r="620" spans="1:14" x14ac:dyDescent="0.25">
      <c r="A620" t="s">
        <v>624</v>
      </c>
      <c r="B620" t="s">
        <v>809</v>
      </c>
      <c r="C620" s="5">
        <v>45591</v>
      </c>
      <c r="D620" s="5">
        <v>45621</v>
      </c>
      <c r="E620" s="3">
        <v>2557.84</v>
      </c>
      <c r="F620" t="s">
        <v>813</v>
      </c>
      <c r="G620" t="s">
        <v>817</v>
      </c>
      <c r="H620" s="5" t="s">
        <v>825</v>
      </c>
      <c r="I620" s="7">
        <f t="shared" si="9"/>
        <v>485</v>
      </c>
      <c r="J620" s="13" t="str" cm="1">
        <f t="array" ref="J620">_xlfn.IFS(I620=0, "Settled", I620&lt;=30, "1-30", I620&lt;=90, "31-90", I620&lt;=365, "91-365", I620&gt;365, "1 Year+")</f>
        <v>1 Year+</v>
      </c>
      <c r="K620" t="s">
        <v>819</v>
      </c>
      <c r="L620" s="3" cm="1">
        <f t="array" ref="L620">_xlfn.IFS(F620="AUD",E620*$V$2,F620="CAD",E620*$V$3,F620="EUR",E620*$V$4,F620="GBP",E620*$V$5,F620="USD",E620*$V$6)</f>
        <v>1918.38</v>
      </c>
      <c r="M620" s="3" cm="1">
        <f t="array" ref="M620">_xlfn.IFS(G620="Paid", L620, G620="Partial", L620*0.5, G620="Open", 0)</f>
        <v>959.19</v>
      </c>
      <c r="N620" s="3" cm="1">
        <f t="array" ref="N620">_xlfn.IFS(G620="Open", L620, G620="Partial", L620*0.5, G620="Paid", 0)</f>
        <v>959.19</v>
      </c>
    </row>
    <row r="621" spans="1:14" x14ac:dyDescent="0.25">
      <c r="A621" t="s">
        <v>625</v>
      </c>
      <c r="B621" t="s">
        <v>807</v>
      </c>
      <c r="C621" s="5">
        <v>44927</v>
      </c>
      <c r="D621" s="5">
        <v>44957</v>
      </c>
      <c r="E621" s="3">
        <v>4192.79</v>
      </c>
      <c r="F621" t="s">
        <v>815</v>
      </c>
      <c r="G621" t="s">
        <v>817</v>
      </c>
      <c r="H621" s="5" t="s">
        <v>825</v>
      </c>
      <c r="I621" s="7">
        <f t="shared" si="9"/>
        <v>1149</v>
      </c>
      <c r="J621" s="13" t="str" cm="1">
        <f t="array" ref="J621">_xlfn.IFS(I621=0, "Settled", I621&lt;=30, "1-30", I621&lt;=90, "31-90", I621&lt;=365, "91-365", I621&gt;365, "1 Year+")</f>
        <v>1 Year+</v>
      </c>
      <c r="K621" t="s">
        <v>819</v>
      </c>
      <c r="L621" s="3" cm="1">
        <f t="array" ref="L621">_xlfn.IFS(F621="AUD",E621*$V$2,F621="CAD",E621*$V$3,F621="EUR",E621*$V$4,F621="GBP",E621*$V$5,F621="USD",E621*$V$6)</f>
        <v>6079.5455000000002</v>
      </c>
      <c r="M621" s="3" cm="1">
        <f t="array" ref="M621">_xlfn.IFS(G621="Paid", L621, G621="Partial", L621*0.5, G621="Open", 0)</f>
        <v>3039.7727500000001</v>
      </c>
      <c r="N621" s="3" cm="1">
        <f t="array" ref="N621">_xlfn.IFS(G621="Open", L621, G621="Partial", L621*0.5, G621="Paid", 0)</f>
        <v>3039.7727500000001</v>
      </c>
    </row>
    <row r="622" spans="1:14" x14ac:dyDescent="0.25">
      <c r="A622" t="s">
        <v>626</v>
      </c>
      <c r="B622" t="s">
        <v>808</v>
      </c>
      <c r="C622" s="5">
        <v>45605</v>
      </c>
      <c r="D622" s="5">
        <v>45635</v>
      </c>
      <c r="E622" s="3">
        <v>2144.7199999999998</v>
      </c>
      <c r="F622" t="s">
        <v>815</v>
      </c>
      <c r="G622" t="s">
        <v>817</v>
      </c>
      <c r="H622" s="5" t="s">
        <v>825</v>
      </c>
      <c r="I622" s="7">
        <f t="shared" si="9"/>
        <v>471</v>
      </c>
      <c r="J622" s="13" t="str" cm="1">
        <f t="array" ref="J622">_xlfn.IFS(I622=0, "Settled", I622&lt;=30, "1-30", I622&lt;=90, "31-90", I622&lt;=365, "91-365", I622&gt;365, "1 Year+")</f>
        <v>1 Year+</v>
      </c>
      <c r="K622" t="s">
        <v>819</v>
      </c>
      <c r="L622" s="3" cm="1">
        <f t="array" ref="L622">_xlfn.IFS(F622="AUD",E622*$V$2,F622="CAD",E622*$V$3,F622="EUR",E622*$V$4,F622="GBP",E622*$V$5,F622="USD",E622*$V$6)</f>
        <v>3109.8439999999996</v>
      </c>
      <c r="M622" s="3" cm="1">
        <f t="array" ref="M622">_xlfn.IFS(G622="Paid", L622, G622="Partial", L622*0.5, G622="Open", 0)</f>
        <v>1554.9219999999998</v>
      </c>
      <c r="N622" s="3" cm="1">
        <f t="array" ref="N622">_xlfn.IFS(G622="Open", L622, G622="Partial", L622*0.5, G622="Paid", 0)</f>
        <v>1554.9219999999998</v>
      </c>
    </row>
    <row r="623" spans="1:14" x14ac:dyDescent="0.25">
      <c r="A623" t="s">
        <v>627</v>
      </c>
      <c r="B623" t="s">
        <v>808</v>
      </c>
      <c r="C623" s="5">
        <v>45604</v>
      </c>
      <c r="D623" s="5">
        <v>45634</v>
      </c>
      <c r="E623" s="3">
        <v>669.43</v>
      </c>
      <c r="F623" t="s">
        <v>814</v>
      </c>
      <c r="G623" t="s">
        <v>816</v>
      </c>
      <c r="H623" s="5" t="s">
        <v>825</v>
      </c>
      <c r="I623" s="7">
        <f t="shared" si="9"/>
        <v>472</v>
      </c>
      <c r="J623" s="13" t="str" cm="1">
        <f t="array" ref="J623">_xlfn.IFS(I623=0, "Settled", I623&lt;=30, "1-30", I623&lt;=90, "31-90", I623&lt;=365, "91-365", I623&gt;365, "1 Year+")</f>
        <v>1 Year+</v>
      </c>
      <c r="K623" t="s">
        <v>819</v>
      </c>
      <c r="L623" s="3" cm="1">
        <f t="array" ref="L623">_xlfn.IFS(F623="AUD",E623*$V$2,F623="CAD",E623*$V$3,F623="EUR",E623*$V$4,F623="GBP",E623*$V$5,F623="USD",E623*$V$6)</f>
        <v>669.43</v>
      </c>
      <c r="M623" s="3" cm="1">
        <f t="array" ref="M623">_xlfn.IFS(G623="Paid", L623, G623="Partial", L623*0.5, G623="Open", 0)</f>
        <v>0</v>
      </c>
      <c r="N623" s="3" cm="1">
        <f t="array" ref="N623">_xlfn.IFS(G623="Open", L623, G623="Partial", L623*0.5, G623="Paid", 0)</f>
        <v>669.43</v>
      </c>
    </row>
    <row r="624" spans="1:14" x14ac:dyDescent="0.25">
      <c r="A624" t="s">
        <v>628</v>
      </c>
      <c r="B624" t="s">
        <v>806</v>
      </c>
      <c r="C624" s="5">
        <v>45717</v>
      </c>
      <c r="D624" s="5">
        <v>45747</v>
      </c>
      <c r="E624" s="3">
        <v>2583.87</v>
      </c>
      <c r="F624" t="s">
        <v>815</v>
      </c>
      <c r="G624" t="s">
        <v>818</v>
      </c>
      <c r="H624" s="5">
        <v>45747</v>
      </c>
      <c r="I624" s="7">
        <f t="shared" si="9"/>
        <v>0</v>
      </c>
      <c r="J624" s="13" t="str" cm="1">
        <f t="array" ref="J624">_xlfn.IFS(I624=0, "Settled", I624&lt;=30, "1-30", I624&lt;=90, "31-90", I624&lt;=365, "91-365", I624&gt;365, "1 Year+")</f>
        <v>Settled</v>
      </c>
      <c r="K624" t="s">
        <v>819</v>
      </c>
      <c r="L624" s="3" cm="1">
        <f t="array" ref="L624">_xlfn.IFS(F624="AUD",E624*$V$2,F624="CAD",E624*$V$3,F624="EUR",E624*$V$4,F624="GBP",E624*$V$5,F624="USD",E624*$V$6)</f>
        <v>3746.6114999999995</v>
      </c>
      <c r="M624" s="3" cm="1">
        <f t="array" ref="M624">_xlfn.IFS(G624="Paid", L624, G624="Partial", L624*0.5, G624="Open", 0)</f>
        <v>3746.6114999999995</v>
      </c>
      <c r="N624" s="3" cm="1">
        <f t="array" ref="N624">_xlfn.IFS(G624="Open", L624, G624="Partial", L624*0.5, G624="Paid", 0)</f>
        <v>0</v>
      </c>
    </row>
    <row r="625" spans="1:14" x14ac:dyDescent="0.25">
      <c r="A625" t="s">
        <v>629</v>
      </c>
      <c r="B625" t="s">
        <v>807</v>
      </c>
      <c r="C625" s="5">
        <v>45683</v>
      </c>
      <c r="D625" s="5">
        <v>45713</v>
      </c>
      <c r="E625" s="3">
        <v>2870.13</v>
      </c>
      <c r="F625" t="s">
        <v>813</v>
      </c>
      <c r="G625" t="s">
        <v>816</v>
      </c>
      <c r="H625" s="5" t="s">
        <v>825</v>
      </c>
      <c r="I625" s="7">
        <f t="shared" si="9"/>
        <v>393</v>
      </c>
      <c r="J625" s="13" t="str" cm="1">
        <f t="array" ref="J625">_xlfn.IFS(I625=0, "Settled", I625&lt;=30, "1-30", I625&lt;=90, "31-90", I625&lt;=365, "91-365", I625&gt;365, "1 Year+")</f>
        <v>1 Year+</v>
      </c>
      <c r="K625" t="s">
        <v>819</v>
      </c>
      <c r="L625" s="3" cm="1">
        <f t="array" ref="L625">_xlfn.IFS(F625="AUD",E625*$V$2,F625="CAD",E625*$V$3,F625="EUR",E625*$V$4,F625="GBP",E625*$V$5,F625="USD",E625*$V$6)</f>
        <v>2152.5974999999999</v>
      </c>
      <c r="M625" s="3" cm="1">
        <f t="array" ref="M625">_xlfn.IFS(G625="Paid", L625, G625="Partial", L625*0.5, G625="Open", 0)</f>
        <v>0</v>
      </c>
      <c r="N625" s="3" cm="1">
        <f t="array" ref="N625">_xlfn.IFS(G625="Open", L625, G625="Partial", L625*0.5, G625="Paid", 0)</f>
        <v>2152.5974999999999</v>
      </c>
    </row>
    <row r="626" spans="1:14" x14ac:dyDescent="0.25">
      <c r="A626" t="s">
        <v>630</v>
      </c>
      <c r="B626" t="s">
        <v>809</v>
      </c>
      <c r="C626" s="5">
        <v>45748</v>
      </c>
      <c r="D626" s="5">
        <v>45778</v>
      </c>
      <c r="E626" s="3">
        <v>308.64</v>
      </c>
      <c r="F626" t="s">
        <v>812</v>
      </c>
      <c r="G626" t="s">
        <v>816</v>
      </c>
      <c r="H626" s="5" t="s">
        <v>825</v>
      </c>
      <c r="I626" s="7">
        <f t="shared" si="9"/>
        <v>328</v>
      </c>
      <c r="J626" s="13" t="str" cm="1">
        <f t="array" ref="J626">_xlfn.IFS(I626=0, "Settled", I626&lt;=30, "1-30", I626&lt;=90, "31-90", I626&lt;=365, "91-365", I626&gt;365, "1 Year+")</f>
        <v>91-365</v>
      </c>
      <c r="K626" t="s">
        <v>819</v>
      </c>
      <c r="L626" s="3" cm="1">
        <f t="array" ref="L626">_xlfn.IFS(F626="AUD",E626*$V$2,F626="CAD",E626*$V$3,F626="EUR",E626*$V$4,F626="GBP",E626*$V$5,F626="USD",E626*$V$6)</f>
        <v>425.92319999999995</v>
      </c>
      <c r="M626" s="3" cm="1">
        <f t="array" ref="M626">_xlfn.IFS(G626="Paid", L626, G626="Partial", L626*0.5, G626="Open", 0)</f>
        <v>0</v>
      </c>
      <c r="N626" s="3" cm="1">
        <f t="array" ref="N626">_xlfn.IFS(G626="Open", L626, G626="Partial", L626*0.5, G626="Paid", 0)</f>
        <v>425.92319999999995</v>
      </c>
    </row>
    <row r="627" spans="1:14" x14ac:dyDescent="0.25">
      <c r="A627" t="s">
        <v>631</v>
      </c>
      <c r="B627" t="s">
        <v>807</v>
      </c>
      <c r="C627" s="5">
        <v>45542</v>
      </c>
      <c r="D627" s="5">
        <v>45572</v>
      </c>
      <c r="E627" s="3">
        <v>754.61</v>
      </c>
      <c r="F627" t="s">
        <v>814</v>
      </c>
      <c r="G627" t="s">
        <v>818</v>
      </c>
      <c r="H627" s="5">
        <v>45572</v>
      </c>
      <c r="I627" s="7">
        <f t="shared" si="9"/>
        <v>0</v>
      </c>
      <c r="J627" s="13" t="str" cm="1">
        <f t="array" ref="J627">_xlfn.IFS(I627=0, "Settled", I627&lt;=30, "1-30", I627&lt;=90, "31-90", I627&lt;=365, "91-365", I627&gt;365, "1 Year+")</f>
        <v>Settled</v>
      </c>
      <c r="K627" t="s">
        <v>819</v>
      </c>
      <c r="L627" s="3" cm="1">
        <f t="array" ref="L627">_xlfn.IFS(F627="AUD",E627*$V$2,F627="CAD",E627*$V$3,F627="EUR",E627*$V$4,F627="GBP",E627*$V$5,F627="USD",E627*$V$6)</f>
        <v>754.61</v>
      </c>
      <c r="M627" s="3" cm="1">
        <f t="array" ref="M627">_xlfn.IFS(G627="Paid", L627, G627="Partial", L627*0.5, G627="Open", 0)</f>
        <v>754.61</v>
      </c>
      <c r="N627" s="3" cm="1">
        <f t="array" ref="N627">_xlfn.IFS(G627="Open", L627, G627="Partial", L627*0.5, G627="Paid", 0)</f>
        <v>0</v>
      </c>
    </row>
    <row r="628" spans="1:14" x14ac:dyDescent="0.25">
      <c r="A628" t="s">
        <v>632</v>
      </c>
      <c r="B628" t="s">
        <v>809</v>
      </c>
      <c r="C628" s="5">
        <v>45799</v>
      </c>
      <c r="D628" s="5">
        <v>45829</v>
      </c>
      <c r="E628" s="3">
        <v>1564.86</v>
      </c>
      <c r="F628" t="s">
        <v>811</v>
      </c>
      <c r="G628" t="s">
        <v>816</v>
      </c>
      <c r="H628" s="5" t="s">
        <v>825</v>
      </c>
      <c r="I628" s="7">
        <f t="shared" si="9"/>
        <v>277</v>
      </c>
      <c r="J628" s="13" t="str" cm="1">
        <f t="array" ref="J628">_xlfn.IFS(I628=0, "Settled", I628&lt;=30, "1-30", I628&lt;=90, "31-90", I628&lt;=365, "91-365", I628&gt;365, "1 Year+")</f>
        <v>91-365</v>
      </c>
      <c r="K628" t="s">
        <v>819</v>
      </c>
      <c r="L628" s="3" cm="1">
        <f t="array" ref="L628">_xlfn.IFS(F628="AUD",E628*$V$2,F628="CAD",E628*$V$3,F628="EUR",E628*$V$4,F628="GBP",E628*$V$5,F628="USD",E628*$V$6)</f>
        <v>1345.7795999999998</v>
      </c>
      <c r="M628" s="3" cm="1">
        <f t="array" ref="M628">_xlfn.IFS(G628="Paid", L628, G628="Partial", L628*0.5, G628="Open", 0)</f>
        <v>0</v>
      </c>
      <c r="N628" s="3" cm="1">
        <f t="array" ref="N628">_xlfn.IFS(G628="Open", L628, G628="Partial", L628*0.5, G628="Paid", 0)</f>
        <v>1345.7795999999998</v>
      </c>
    </row>
    <row r="629" spans="1:14" x14ac:dyDescent="0.25">
      <c r="A629" t="s">
        <v>633</v>
      </c>
      <c r="B629" t="s">
        <v>807</v>
      </c>
      <c r="C629" s="5">
        <v>44941</v>
      </c>
      <c r="D629" s="5">
        <v>44971</v>
      </c>
      <c r="E629" s="3">
        <v>2205.11</v>
      </c>
      <c r="F629" t="s">
        <v>813</v>
      </c>
      <c r="G629" t="s">
        <v>817</v>
      </c>
      <c r="H629" s="5" t="s">
        <v>825</v>
      </c>
      <c r="I629" s="7">
        <f t="shared" si="9"/>
        <v>1135</v>
      </c>
      <c r="J629" s="13" t="str" cm="1">
        <f t="array" ref="J629">_xlfn.IFS(I629=0, "Settled", I629&lt;=30, "1-30", I629&lt;=90, "31-90", I629&lt;=365, "91-365", I629&gt;365, "1 Year+")</f>
        <v>1 Year+</v>
      </c>
      <c r="K629" t="s">
        <v>819</v>
      </c>
      <c r="L629" s="3" cm="1">
        <f t="array" ref="L629">_xlfn.IFS(F629="AUD",E629*$V$2,F629="CAD",E629*$V$3,F629="EUR",E629*$V$4,F629="GBP",E629*$V$5,F629="USD",E629*$V$6)</f>
        <v>1653.8325</v>
      </c>
      <c r="M629" s="3" cm="1">
        <f t="array" ref="M629">_xlfn.IFS(G629="Paid", L629, G629="Partial", L629*0.5, G629="Open", 0)</f>
        <v>826.91624999999999</v>
      </c>
      <c r="N629" s="3" cm="1">
        <f t="array" ref="N629">_xlfn.IFS(G629="Open", L629, G629="Partial", L629*0.5, G629="Paid", 0)</f>
        <v>826.91624999999999</v>
      </c>
    </row>
    <row r="630" spans="1:14" x14ac:dyDescent="0.25">
      <c r="A630" t="s">
        <v>634</v>
      </c>
      <c r="B630" t="s">
        <v>809</v>
      </c>
      <c r="C630" s="5">
        <v>45421</v>
      </c>
      <c r="D630" s="5">
        <v>45451</v>
      </c>
      <c r="E630" s="3">
        <v>562.79999999999995</v>
      </c>
      <c r="F630" t="s">
        <v>813</v>
      </c>
      <c r="G630" t="s">
        <v>817</v>
      </c>
      <c r="H630" s="5" t="s">
        <v>825</v>
      </c>
      <c r="I630" s="7">
        <f t="shared" si="9"/>
        <v>655</v>
      </c>
      <c r="J630" s="13" t="str" cm="1">
        <f t="array" ref="J630">_xlfn.IFS(I630=0, "Settled", I630&lt;=30, "1-30", I630&lt;=90, "31-90", I630&lt;=365, "91-365", I630&gt;365, "1 Year+")</f>
        <v>1 Year+</v>
      </c>
      <c r="K630" t="s">
        <v>819</v>
      </c>
      <c r="L630" s="3" cm="1">
        <f t="array" ref="L630">_xlfn.IFS(F630="AUD",E630*$V$2,F630="CAD",E630*$V$3,F630="EUR",E630*$V$4,F630="GBP",E630*$V$5,F630="USD",E630*$V$6)</f>
        <v>422.09999999999997</v>
      </c>
      <c r="M630" s="3" cm="1">
        <f t="array" ref="M630">_xlfn.IFS(G630="Paid", L630, G630="Partial", L630*0.5, G630="Open", 0)</f>
        <v>211.04999999999998</v>
      </c>
      <c r="N630" s="3" cm="1">
        <f t="array" ref="N630">_xlfn.IFS(G630="Open", L630, G630="Partial", L630*0.5, G630="Paid", 0)</f>
        <v>211.04999999999998</v>
      </c>
    </row>
    <row r="631" spans="1:14" x14ac:dyDescent="0.25">
      <c r="A631" t="s">
        <v>635</v>
      </c>
      <c r="B631" t="s">
        <v>806</v>
      </c>
      <c r="C631" s="5">
        <v>44987</v>
      </c>
      <c r="D631" s="5">
        <v>45017</v>
      </c>
      <c r="E631" s="3">
        <v>3911.54</v>
      </c>
      <c r="F631" t="s">
        <v>814</v>
      </c>
      <c r="G631" t="s">
        <v>817</v>
      </c>
      <c r="H631" s="5" t="s">
        <v>825</v>
      </c>
      <c r="I631" s="7">
        <f t="shared" si="9"/>
        <v>1089</v>
      </c>
      <c r="J631" s="13" t="str" cm="1">
        <f t="array" ref="J631">_xlfn.IFS(I631=0, "Settled", I631&lt;=30, "1-30", I631&lt;=90, "31-90", I631&lt;=365, "91-365", I631&gt;365, "1 Year+")</f>
        <v>1 Year+</v>
      </c>
      <c r="K631" t="s">
        <v>819</v>
      </c>
      <c r="L631" s="3" cm="1">
        <f t="array" ref="L631">_xlfn.IFS(F631="AUD",E631*$V$2,F631="CAD",E631*$V$3,F631="EUR",E631*$V$4,F631="GBP",E631*$V$5,F631="USD",E631*$V$6)</f>
        <v>3911.54</v>
      </c>
      <c r="M631" s="3" cm="1">
        <f t="array" ref="M631">_xlfn.IFS(G631="Paid", L631, G631="Partial", L631*0.5, G631="Open", 0)</f>
        <v>1955.77</v>
      </c>
      <c r="N631" s="3" cm="1">
        <f t="array" ref="N631">_xlfn.IFS(G631="Open", L631, G631="Partial", L631*0.5, G631="Paid", 0)</f>
        <v>1955.77</v>
      </c>
    </row>
    <row r="632" spans="1:14" x14ac:dyDescent="0.25">
      <c r="A632" t="s">
        <v>636</v>
      </c>
      <c r="B632" t="s">
        <v>810</v>
      </c>
      <c r="C632" s="5">
        <v>45836</v>
      </c>
      <c r="D632" s="5">
        <v>45866</v>
      </c>
      <c r="E632" s="3">
        <v>3891.61</v>
      </c>
      <c r="F632" t="s">
        <v>812</v>
      </c>
      <c r="G632" t="s">
        <v>817</v>
      </c>
      <c r="H632" s="5" t="s">
        <v>825</v>
      </c>
      <c r="I632" s="7">
        <f t="shared" si="9"/>
        <v>240</v>
      </c>
      <c r="J632" s="13" t="str" cm="1">
        <f t="array" ref="J632">_xlfn.IFS(I632=0, "Settled", I632&lt;=30, "1-30", I632&lt;=90, "31-90", I632&lt;=365, "91-365", I632&gt;365, "1 Year+")</f>
        <v>91-365</v>
      </c>
      <c r="K632" t="s">
        <v>819</v>
      </c>
      <c r="L632" s="3" cm="1">
        <f t="array" ref="L632">_xlfn.IFS(F632="AUD",E632*$V$2,F632="CAD",E632*$V$3,F632="EUR",E632*$V$4,F632="GBP",E632*$V$5,F632="USD",E632*$V$6)</f>
        <v>5370.4218000000001</v>
      </c>
      <c r="M632" s="3" cm="1">
        <f t="array" ref="M632">_xlfn.IFS(G632="Paid", L632, G632="Partial", L632*0.5, G632="Open", 0)</f>
        <v>2685.2109</v>
      </c>
      <c r="N632" s="3" cm="1">
        <f t="array" ref="N632">_xlfn.IFS(G632="Open", L632, G632="Partial", L632*0.5, G632="Paid", 0)</f>
        <v>2685.2109</v>
      </c>
    </row>
    <row r="633" spans="1:14" x14ac:dyDescent="0.25">
      <c r="A633" t="s">
        <v>637</v>
      </c>
      <c r="B633" t="s">
        <v>808</v>
      </c>
      <c r="C633" s="5">
        <v>44972</v>
      </c>
      <c r="D633" s="5">
        <v>45002</v>
      </c>
      <c r="E633" s="3">
        <v>2302.46</v>
      </c>
      <c r="F633" t="s">
        <v>813</v>
      </c>
      <c r="G633" t="s">
        <v>816</v>
      </c>
      <c r="H633" s="5" t="s">
        <v>825</v>
      </c>
      <c r="I633" s="7">
        <f t="shared" si="9"/>
        <v>1104</v>
      </c>
      <c r="J633" s="13" t="str" cm="1">
        <f t="array" ref="J633">_xlfn.IFS(I633=0, "Settled", I633&lt;=30, "1-30", I633&lt;=90, "31-90", I633&lt;=365, "91-365", I633&gt;365, "1 Year+")</f>
        <v>1 Year+</v>
      </c>
      <c r="K633" t="s">
        <v>819</v>
      </c>
      <c r="L633" s="3" cm="1">
        <f t="array" ref="L633">_xlfn.IFS(F633="AUD",E633*$V$2,F633="CAD",E633*$V$3,F633="EUR",E633*$V$4,F633="GBP",E633*$V$5,F633="USD",E633*$V$6)</f>
        <v>1726.845</v>
      </c>
      <c r="M633" s="3" cm="1">
        <f t="array" ref="M633">_xlfn.IFS(G633="Paid", L633, G633="Partial", L633*0.5, G633="Open", 0)</f>
        <v>0</v>
      </c>
      <c r="N633" s="3" cm="1">
        <f t="array" ref="N633">_xlfn.IFS(G633="Open", L633, G633="Partial", L633*0.5, G633="Paid", 0)</f>
        <v>1726.845</v>
      </c>
    </row>
    <row r="634" spans="1:14" x14ac:dyDescent="0.25">
      <c r="A634" t="s">
        <v>638</v>
      </c>
      <c r="B634" t="s">
        <v>809</v>
      </c>
      <c r="C634" s="5">
        <v>45388</v>
      </c>
      <c r="D634" s="5">
        <v>45418</v>
      </c>
      <c r="E634" s="3">
        <v>3723.61</v>
      </c>
      <c r="F634" t="s">
        <v>814</v>
      </c>
      <c r="G634" t="s">
        <v>816</v>
      </c>
      <c r="H634" s="5" t="s">
        <v>825</v>
      </c>
      <c r="I634" s="7">
        <f t="shared" si="9"/>
        <v>688</v>
      </c>
      <c r="J634" s="13" t="str" cm="1">
        <f t="array" ref="J634">_xlfn.IFS(I634=0, "Settled", I634&lt;=30, "1-30", I634&lt;=90, "31-90", I634&lt;=365, "91-365", I634&gt;365, "1 Year+")</f>
        <v>1 Year+</v>
      </c>
      <c r="K634" t="s">
        <v>819</v>
      </c>
      <c r="L634" s="3" cm="1">
        <f t="array" ref="L634">_xlfn.IFS(F634="AUD",E634*$V$2,F634="CAD",E634*$V$3,F634="EUR",E634*$V$4,F634="GBP",E634*$V$5,F634="USD",E634*$V$6)</f>
        <v>3723.61</v>
      </c>
      <c r="M634" s="3" cm="1">
        <f t="array" ref="M634">_xlfn.IFS(G634="Paid", L634, G634="Partial", L634*0.5, G634="Open", 0)</f>
        <v>0</v>
      </c>
      <c r="N634" s="3" cm="1">
        <f t="array" ref="N634">_xlfn.IFS(G634="Open", L634, G634="Partial", L634*0.5, G634="Paid", 0)</f>
        <v>3723.61</v>
      </c>
    </row>
    <row r="635" spans="1:14" x14ac:dyDescent="0.25">
      <c r="A635" t="s">
        <v>639</v>
      </c>
      <c r="B635" t="s">
        <v>806</v>
      </c>
      <c r="C635" s="5">
        <v>45348</v>
      </c>
      <c r="D635" s="5">
        <v>45378</v>
      </c>
      <c r="E635" s="3">
        <v>2892.87</v>
      </c>
      <c r="F635" t="s">
        <v>811</v>
      </c>
      <c r="G635" t="s">
        <v>816</v>
      </c>
      <c r="H635" s="5" t="s">
        <v>825</v>
      </c>
      <c r="I635" s="7">
        <f t="shared" si="9"/>
        <v>728</v>
      </c>
      <c r="J635" s="13" t="str" cm="1">
        <f t="array" ref="J635">_xlfn.IFS(I635=0, "Settled", I635&lt;=30, "1-30", I635&lt;=90, "31-90", I635&lt;=365, "91-365", I635&gt;365, "1 Year+")</f>
        <v>1 Year+</v>
      </c>
      <c r="K635" t="s">
        <v>819</v>
      </c>
      <c r="L635" s="3" cm="1">
        <f t="array" ref="L635">_xlfn.IFS(F635="AUD",E635*$V$2,F635="CAD",E635*$V$3,F635="EUR",E635*$V$4,F635="GBP",E635*$V$5,F635="USD",E635*$V$6)</f>
        <v>2487.8681999999999</v>
      </c>
      <c r="M635" s="3" cm="1">
        <f t="array" ref="M635">_xlfn.IFS(G635="Paid", L635, G635="Partial", L635*0.5, G635="Open", 0)</f>
        <v>0</v>
      </c>
      <c r="N635" s="3" cm="1">
        <f t="array" ref="N635">_xlfn.IFS(G635="Open", L635, G635="Partial", L635*0.5, G635="Paid", 0)</f>
        <v>2487.8681999999999</v>
      </c>
    </row>
    <row r="636" spans="1:14" x14ac:dyDescent="0.25">
      <c r="A636" t="s">
        <v>640</v>
      </c>
      <c r="B636" t="s">
        <v>808</v>
      </c>
      <c r="C636" s="5">
        <v>45650</v>
      </c>
      <c r="D636" s="5">
        <v>45680</v>
      </c>
      <c r="E636" s="3">
        <v>2261.7399999999998</v>
      </c>
      <c r="F636" t="s">
        <v>813</v>
      </c>
      <c r="G636" t="s">
        <v>816</v>
      </c>
      <c r="H636" s="5" t="s">
        <v>825</v>
      </c>
      <c r="I636" s="7">
        <f t="shared" si="9"/>
        <v>426</v>
      </c>
      <c r="J636" s="13" t="str" cm="1">
        <f t="array" ref="J636">_xlfn.IFS(I636=0, "Settled", I636&lt;=30, "1-30", I636&lt;=90, "31-90", I636&lt;=365, "91-365", I636&gt;365, "1 Year+")</f>
        <v>1 Year+</v>
      </c>
      <c r="K636" t="s">
        <v>819</v>
      </c>
      <c r="L636" s="3" cm="1">
        <f t="array" ref="L636">_xlfn.IFS(F636="AUD",E636*$V$2,F636="CAD",E636*$V$3,F636="EUR",E636*$V$4,F636="GBP",E636*$V$5,F636="USD",E636*$V$6)</f>
        <v>1696.3049999999998</v>
      </c>
      <c r="M636" s="3" cm="1">
        <f t="array" ref="M636">_xlfn.IFS(G636="Paid", L636, G636="Partial", L636*0.5, G636="Open", 0)</f>
        <v>0</v>
      </c>
      <c r="N636" s="3" cm="1">
        <f t="array" ref="N636">_xlfn.IFS(G636="Open", L636, G636="Partial", L636*0.5, G636="Paid", 0)</f>
        <v>1696.3049999999998</v>
      </c>
    </row>
    <row r="637" spans="1:14" x14ac:dyDescent="0.25">
      <c r="A637" t="s">
        <v>641</v>
      </c>
      <c r="B637" t="s">
        <v>809</v>
      </c>
      <c r="C637" s="5">
        <v>45361</v>
      </c>
      <c r="D637" s="5">
        <v>45391</v>
      </c>
      <c r="E637" s="3">
        <v>3900.62</v>
      </c>
      <c r="F637" t="s">
        <v>815</v>
      </c>
      <c r="G637" t="s">
        <v>817</v>
      </c>
      <c r="H637" s="5" t="s">
        <v>825</v>
      </c>
      <c r="I637" s="7">
        <f t="shared" si="9"/>
        <v>715</v>
      </c>
      <c r="J637" s="13" t="str" cm="1">
        <f t="array" ref="J637">_xlfn.IFS(I637=0, "Settled", I637&lt;=30, "1-30", I637&lt;=90, "31-90", I637&lt;=365, "91-365", I637&gt;365, "1 Year+")</f>
        <v>1 Year+</v>
      </c>
      <c r="K637" t="s">
        <v>819</v>
      </c>
      <c r="L637" s="3" cm="1">
        <f t="array" ref="L637">_xlfn.IFS(F637="AUD",E637*$V$2,F637="CAD",E637*$V$3,F637="EUR",E637*$V$4,F637="GBP",E637*$V$5,F637="USD",E637*$V$6)</f>
        <v>5655.8989999999994</v>
      </c>
      <c r="M637" s="3" cm="1">
        <f t="array" ref="M637">_xlfn.IFS(G637="Paid", L637, G637="Partial", L637*0.5, G637="Open", 0)</f>
        <v>2827.9494999999997</v>
      </c>
      <c r="N637" s="3" cm="1">
        <f t="array" ref="N637">_xlfn.IFS(G637="Open", L637, G637="Partial", L637*0.5, G637="Paid", 0)</f>
        <v>2827.9494999999997</v>
      </c>
    </row>
    <row r="638" spans="1:14" x14ac:dyDescent="0.25">
      <c r="A638" t="s">
        <v>642</v>
      </c>
      <c r="B638" t="s">
        <v>809</v>
      </c>
      <c r="C638" s="5">
        <v>45419</v>
      </c>
      <c r="D638" s="5">
        <v>45449</v>
      </c>
      <c r="E638" s="3">
        <v>4377.2</v>
      </c>
      <c r="F638" t="s">
        <v>813</v>
      </c>
      <c r="G638" t="s">
        <v>816</v>
      </c>
      <c r="H638" s="5" t="s">
        <v>825</v>
      </c>
      <c r="I638" s="7">
        <f t="shared" si="9"/>
        <v>657</v>
      </c>
      <c r="J638" s="13" t="str" cm="1">
        <f t="array" ref="J638">_xlfn.IFS(I638=0, "Settled", I638&lt;=30, "1-30", I638&lt;=90, "31-90", I638&lt;=365, "91-365", I638&gt;365, "1 Year+")</f>
        <v>1 Year+</v>
      </c>
      <c r="K638" t="s">
        <v>819</v>
      </c>
      <c r="L638" s="3" cm="1">
        <f t="array" ref="L638">_xlfn.IFS(F638="AUD",E638*$V$2,F638="CAD",E638*$V$3,F638="EUR",E638*$V$4,F638="GBP",E638*$V$5,F638="USD",E638*$V$6)</f>
        <v>3282.8999999999996</v>
      </c>
      <c r="M638" s="3" cm="1">
        <f t="array" ref="M638">_xlfn.IFS(G638="Paid", L638, G638="Partial", L638*0.5, G638="Open", 0)</f>
        <v>0</v>
      </c>
      <c r="N638" s="3" cm="1">
        <f t="array" ref="N638">_xlfn.IFS(G638="Open", L638, G638="Partial", L638*0.5, G638="Paid", 0)</f>
        <v>3282.8999999999996</v>
      </c>
    </row>
    <row r="639" spans="1:14" x14ac:dyDescent="0.25">
      <c r="A639" t="s">
        <v>643</v>
      </c>
      <c r="B639" t="s">
        <v>810</v>
      </c>
      <c r="C639" s="5">
        <v>45670</v>
      </c>
      <c r="D639" s="5">
        <v>45700</v>
      </c>
      <c r="E639" s="3">
        <v>4656.51</v>
      </c>
      <c r="F639" t="s">
        <v>815</v>
      </c>
      <c r="G639" t="s">
        <v>818</v>
      </c>
      <c r="H639" s="5">
        <v>45700</v>
      </c>
      <c r="I639" s="7">
        <f t="shared" si="9"/>
        <v>0</v>
      </c>
      <c r="J639" s="13" t="str" cm="1">
        <f t="array" ref="J639">_xlfn.IFS(I639=0, "Settled", I639&lt;=30, "1-30", I639&lt;=90, "31-90", I639&lt;=365, "91-365", I639&gt;365, "1 Year+")</f>
        <v>Settled</v>
      </c>
      <c r="K639" t="s">
        <v>819</v>
      </c>
      <c r="L639" s="3" cm="1">
        <f t="array" ref="L639">_xlfn.IFS(F639="AUD",E639*$V$2,F639="CAD",E639*$V$3,F639="EUR",E639*$V$4,F639="GBP",E639*$V$5,F639="USD",E639*$V$6)</f>
        <v>6751.9395000000004</v>
      </c>
      <c r="M639" s="3" cm="1">
        <f t="array" ref="M639">_xlfn.IFS(G639="Paid", L639, G639="Partial", L639*0.5, G639="Open", 0)</f>
        <v>6751.9395000000004</v>
      </c>
      <c r="N639" s="3" cm="1">
        <f t="array" ref="N639">_xlfn.IFS(G639="Open", L639, G639="Partial", L639*0.5, G639="Paid", 0)</f>
        <v>0</v>
      </c>
    </row>
    <row r="640" spans="1:14" x14ac:dyDescent="0.25">
      <c r="A640" t="s">
        <v>644</v>
      </c>
      <c r="B640" t="s">
        <v>808</v>
      </c>
      <c r="C640" s="5">
        <v>45704</v>
      </c>
      <c r="D640" s="5">
        <v>45734</v>
      </c>
      <c r="E640" s="3">
        <v>4576.1099999999997</v>
      </c>
      <c r="F640" t="s">
        <v>814</v>
      </c>
      <c r="G640" t="s">
        <v>816</v>
      </c>
      <c r="H640" s="5" t="s">
        <v>825</v>
      </c>
      <c r="I640" s="7">
        <f t="shared" si="9"/>
        <v>372</v>
      </c>
      <c r="J640" s="13" t="str" cm="1">
        <f t="array" ref="J640">_xlfn.IFS(I640=0, "Settled", I640&lt;=30, "1-30", I640&lt;=90, "31-90", I640&lt;=365, "91-365", I640&gt;365, "1 Year+")</f>
        <v>1 Year+</v>
      </c>
      <c r="K640" t="s">
        <v>819</v>
      </c>
      <c r="L640" s="3" cm="1">
        <f t="array" ref="L640">_xlfn.IFS(F640="AUD",E640*$V$2,F640="CAD",E640*$V$3,F640="EUR",E640*$V$4,F640="GBP",E640*$V$5,F640="USD",E640*$V$6)</f>
        <v>4576.1099999999997</v>
      </c>
      <c r="M640" s="3" cm="1">
        <f t="array" ref="M640">_xlfn.IFS(G640="Paid", L640, G640="Partial", L640*0.5, G640="Open", 0)</f>
        <v>0</v>
      </c>
      <c r="N640" s="3" cm="1">
        <f t="array" ref="N640">_xlfn.IFS(G640="Open", L640, G640="Partial", L640*0.5, G640="Paid", 0)</f>
        <v>4576.1099999999997</v>
      </c>
    </row>
    <row r="641" spans="1:14" x14ac:dyDescent="0.25">
      <c r="A641" t="s">
        <v>645</v>
      </c>
      <c r="B641" t="s">
        <v>809</v>
      </c>
      <c r="C641" s="5">
        <v>45781</v>
      </c>
      <c r="D641" s="5">
        <v>45811</v>
      </c>
      <c r="E641" s="3">
        <v>1039.52</v>
      </c>
      <c r="F641" t="s">
        <v>811</v>
      </c>
      <c r="G641" t="s">
        <v>817</v>
      </c>
      <c r="H641" s="5" t="s">
        <v>825</v>
      </c>
      <c r="I641" s="7">
        <f t="shared" si="9"/>
        <v>295</v>
      </c>
      <c r="J641" s="13" t="str" cm="1">
        <f t="array" ref="J641">_xlfn.IFS(I641=0, "Settled", I641&lt;=30, "1-30", I641&lt;=90, "31-90", I641&lt;=365, "91-365", I641&gt;365, "1 Year+")</f>
        <v>91-365</v>
      </c>
      <c r="K641" t="s">
        <v>819</v>
      </c>
      <c r="L641" s="3" cm="1">
        <f t="array" ref="L641">_xlfn.IFS(F641="AUD",E641*$V$2,F641="CAD",E641*$V$3,F641="EUR",E641*$V$4,F641="GBP",E641*$V$5,F641="USD",E641*$V$6)</f>
        <v>893.98719999999992</v>
      </c>
      <c r="M641" s="3" cm="1">
        <f t="array" ref="M641">_xlfn.IFS(G641="Paid", L641, G641="Partial", L641*0.5, G641="Open", 0)</f>
        <v>446.99359999999996</v>
      </c>
      <c r="N641" s="3" cm="1">
        <f t="array" ref="N641">_xlfn.IFS(G641="Open", L641, G641="Partial", L641*0.5, G641="Paid", 0)</f>
        <v>446.99359999999996</v>
      </c>
    </row>
    <row r="642" spans="1:14" x14ac:dyDescent="0.25">
      <c r="A642" t="s">
        <v>646</v>
      </c>
      <c r="B642" t="s">
        <v>810</v>
      </c>
      <c r="C642" s="5">
        <v>45171</v>
      </c>
      <c r="D642" s="5">
        <v>45201</v>
      </c>
      <c r="E642" s="3">
        <v>179.18</v>
      </c>
      <c r="F642" t="s">
        <v>813</v>
      </c>
      <c r="G642" t="s">
        <v>818</v>
      </c>
      <c r="H642" s="5">
        <v>45201</v>
      </c>
      <c r="I642" s="7">
        <f t="shared" si="9"/>
        <v>0</v>
      </c>
      <c r="J642" s="13" t="str" cm="1">
        <f t="array" ref="J642">_xlfn.IFS(I642=0, "Settled", I642&lt;=30, "1-30", I642&lt;=90, "31-90", I642&lt;=365, "91-365", I642&gt;365, "1 Year+")</f>
        <v>Settled</v>
      </c>
      <c r="K642" t="s">
        <v>819</v>
      </c>
      <c r="L642" s="3" cm="1">
        <f t="array" ref="L642">_xlfn.IFS(F642="AUD",E642*$V$2,F642="CAD",E642*$V$3,F642="EUR",E642*$V$4,F642="GBP",E642*$V$5,F642="USD",E642*$V$6)</f>
        <v>134.38499999999999</v>
      </c>
      <c r="M642" s="3" cm="1">
        <f t="array" ref="M642">_xlfn.IFS(G642="Paid", L642, G642="Partial", L642*0.5, G642="Open", 0)</f>
        <v>134.38499999999999</v>
      </c>
      <c r="N642" s="3" cm="1">
        <f t="array" ref="N642">_xlfn.IFS(G642="Open", L642, G642="Partial", L642*0.5, G642="Paid", 0)</f>
        <v>0</v>
      </c>
    </row>
    <row r="643" spans="1:14" x14ac:dyDescent="0.25">
      <c r="A643" t="s">
        <v>647</v>
      </c>
      <c r="B643" t="s">
        <v>808</v>
      </c>
      <c r="C643" s="5">
        <v>45235</v>
      </c>
      <c r="D643" s="5">
        <v>45265</v>
      </c>
      <c r="E643" s="3">
        <v>2198.02</v>
      </c>
      <c r="F643" t="s">
        <v>815</v>
      </c>
      <c r="G643" t="s">
        <v>818</v>
      </c>
      <c r="H643" s="5">
        <v>45265</v>
      </c>
      <c r="I643" s="7">
        <f t="shared" ref="I643:I706" si="10">IF(G643="Paid",0,DATE(2026,3,25)-D643)</f>
        <v>0</v>
      </c>
      <c r="J643" s="13" t="str" cm="1">
        <f t="array" ref="J643">_xlfn.IFS(I643=0, "Settled", I643&lt;=30, "1-30", I643&lt;=90, "31-90", I643&lt;=365, "91-365", I643&gt;365, "1 Year+")</f>
        <v>Settled</v>
      </c>
      <c r="K643" t="s">
        <v>819</v>
      </c>
      <c r="L643" s="3" cm="1">
        <f t="array" ref="L643">_xlfn.IFS(F643="AUD",E643*$V$2,F643="CAD",E643*$V$3,F643="EUR",E643*$V$4,F643="GBP",E643*$V$5,F643="USD",E643*$V$6)</f>
        <v>3187.1289999999999</v>
      </c>
      <c r="M643" s="3" cm="1">
        <f t="array" ref="M643">_xlfn.IFS(G643="Paid", L643, G643="Partial", L643*0.5, G643="Open", 0)</f>
        <v>3187.1289999999999</v>
      </c>
      <c r="N643" s="3" cm="1">
        <f t="array" ref="N643">_xlfn.IFS(G643="Open", L643, G643="Partial", L643*0.5, G643="Paid", 0)</f>
        <v>0</v>
      </c>
    </row>
    <row r="644" spans="1:14" x14ac:dyDescent="0.25">
      <c r="A644" t="s">
        <v>648</v>
      </c>
      <c r="B644" t="s">
        <v>807</v>
      </c>
      <c r="C644" s="5">
        <v>45362</v>
      </c>
      <c r="D644" s="5">
        <v>45392</v>
      </c>
      <c r="E644" s="3">
        <v>3150.23</v>
      </c>
      <c r="F644" t="s">
        <v>815</v>
      </c>
      <c r="G644" t="s">
        <v>817</v>
      </c>
      <c r="H644" s="5" t="s">
        <v>825</v>
      </c>
      <c r="I644" s="7">
        <f t="shared" si="10"/>
        <v>714</v>
      </c>
      <c r="J644" s="13" t="str" cm="1">
        <f t="array" ref="J644">_xlfn.IFS(I644=0, "Settled", I644&lt;=30, "1-30", I644&lt;=90, "31-90", I644&lt;=365, "91-365", I644&gt;365, "1 Year+")</f>
        <v>1 Year+</v>
      </c>
      <c r="K644" t="s">
        <v>819</v>
      </c>
      <c r="L644" s="3" cm="1">
        <f t="array" ref="L644">_xlfn.IFS(F644="AUD",E644*$V$2,F644="CAD",E644*$V$3,F644="EUR",E644*$V$4,F644="GBP",E644*$V$5,F644="USD",E644*$V$6)</f>
        <v>4567.8334999999997</v>
      </c>
      <c r="M644" s="3" cm="1">
        <f t="array" ref="M644">_xlfn.IFS(G644="Paid", L644, G644="Partial", L644*0.5, G644="Open", 0)</f>
        <v>2283.9167499999999</v>
      </c>
      <c r="N644" s="3" cm="1">
        <f t="array" ref="N644">_xlfn.IFS(G644="Open", L644, G644="Partial", L644*0.5, G644="Paid", 0)</f>
        <v>2283.9167499999999</v>
      </c>
    </row>
    <row r="645" spans="1:14" x14ac:dyDescent="0.25">
      <c r="A645" t="s">
        <v>649</v>
      </c>
      <c r="B645" t="s">
        <v>807</v>
      </c>
      <c r="C645" s="5">
        <v>45236</v>
      </c>
      <c r="D645" s="5">
        <v>45266</v>
      </c>
      <c r="E645" s="3">
        <v>4973.37</v>
      </c>
      <c r="F645" t="s">
        <v>815</v>
      </c>
      <c r="G645" t="s">
        <v>817</v>
      </c>
      <c r="H645" s="5" t="s">
        <v>825</v>
      </c>
      <c r="I645" s="7">
        <f t="shared" si="10"/>
        <v>840</v>
      </c>
      <c r="J645" s="13" t="str" cm="1">
        <f t="array" ref="J645">_xlfn.IFS(I645=0, "Settled", I645&lt;=30, "1-30", I645&lt;=90, "31-90", I645&lt;=365, "91-365", I645&gt;365, "1 Year+")</f>
        <v>1 Year+</v>
      </c>
      <c r="K645" t="s">
        <v>819</v>
      </c>
      <c r="L645" s="3" cm="1">
        <f t="array" ref="L645">_xlfn.IFS(F645="AUD",E645*$V$2,F645="CAD",E645*$V$3,F645="EUR",E645*$V$4,F645="GBP",E645*$V$5,F645="USD",E645*$V$6)</f>
        <v>7211.3864999999996</v>
      </c>
      <c r="M645" s="3" cm="1">
        <f t="array" ref="M645">_xlfn.IFS(G645="Paid", L645, G645="Partial", L645*0.5, G645="Open", 0)</f>
        <v>3605.6932499999998</v>
      </c>
      <c r="N645" s="3" cm="1">
        <f t="array" ref="N645">_xlfn.IFS(G645="Open", L645, G645="Partial", L645*0.5, G645="Paid", 0)</f>
        <v>3605.6932499999998</v>
      </c>
    </row>
    <row r="646" spans="1:14" x14ac:dyDescent="0.25">
      <c r="A646" t="s">
        <v>650</v>
      </c>
      <c r="B646" t="s">
        <v>808</v>
      </c>
      <c r="C646" s="5">
        <v>45757</v>
      </c>
      <c r="D646" s="5">
        <v>45787</v>
      </c>
      <c r="E646" s="3">
        <v>4507.3999999999996</v>
      </c>
      <c r="F646" t="s">
        <v>812</v>
      </c>
      <c r="G646" t="s">
        <v>818</v>
      </c>
      <c r="H646" s="5">
        <v>45787</v>
      </c>
      <c r="I646" s="7">
        <f t="shared" si="10"/>
        <v>0</v>
      </c>
      <c r="J646" s="13" t="str" cm="1">
        <f t="array" ref="J646">_xlfn.IFS(I646=0, "Settled", I646&lt;=30, "1-30", I646&lt;=90, "31-90", I646&lt;=365, "91-365", I646&gt;365, "1 Year+")</f>
        <v>Settled</v>
      </c>
      <c r="K646" t="s">
        <v>819</v>
      </c>
      <c r="L646" s="3" cm="1">
        <f t="array" ref="L646">_xlfn.IFS(F646="AUD",E646*$V$2,F646="CAD",E646*$V$3,F646="EUR",E646*$V$4,F646="GBP",E646*$V$5,F646="USD",E646*$V$6)</f>
        <v>6220.2119999999986</v>
      </c>
      <c r="M646" s="3" cm="1">
        <f t="array" ref="M646">_xlfn.IFS(G646="Paid", L646, G646="Partial", L646*0.5, G646="Open", 0)</f>
        <v>6220.2119999999986</v>
      </c>
      <c r="N646" s="3" cm="1">
        <f t="array" ref="N646">_xlfn.IFS(G646="Open", L646, G646="Partial", L646*0.5, G646="Paid", 0)</f>
        <v>0</v>
      </c>
    </row>
    <row r="647" spans="1:14" x14ac:dyDescent="0.25">
      <c r="A647" t="s">
        <v>651</v>
      </c>
      <c r="B647" t="s">
        <v>806</v>
      </c>
      <c r="C647" s="5">
        <v>45125</v>
      </c>
      <c r="D647" s="5">
        <v>45155</v>
      </c>
      <c r="E647" s="3">
        <v>2432.37</v>
      </c>
      <c r="F647" t="s">
        <v>813</v>
      </c>
      <c r="G647" t="s">
        <v>817</v>
      </c>
      <c r="H647" s="5" t="s">
        <v>825</v>
      </c>
      <c r="I647" s="7">
        <f t="shared" si="10"/>
        <v>951</v>
      </c>
      <c r="J647" s="13" t="str" cm="1">
        <f t="array" ref="J647">_xlfn.IFS(I647=0, "Settled", I647&lt;=30, "1-30", I647&lt;=90, "31-90", I647&lt;=365, "91-365", I647&gt;365, "1 Year+")</f>
        <v>1 Year+</v>
      </c>
      <c r="K647" t="s">
        <v>819</v>
      </c>
      <c r="L647" s="3" cm="1">
        <f t="array" ref="L647">_xlfn.IFS(F647="AUD",E647*$V$2,F647="CAD",E647*$V$3,F647="EUR",E647*$V$4,F647="GBP",E647*$V$5,F647="USD",E647*$V$6)</f>
        <v>1824.2774999999999</v>
      </c>
      <c r="M647" s="3" cm="1">
        <f t="array" ref="M647">_xlfn.IFS(G647="Paid", L647, G647="Partial", L647*0.5, G647="Open", 0)</f>
        <v>912.13874999999996</v>
      </c>
      <c r="N647" s="3" cm="1">
        <f t="array" ref="N647">_xlfn.IFS(G647="Open", L647, G647="Partial", L647*0.5, G647="Paid", 0)</f>
        <v>912.13874999999996</v>
      </c>
    </row>
    <row r="648" spans="1:14" x14ac:dyDescent="0.25">
      <c r="A648" t="s">
        <v>652</v>
      </c>
      <c r="B648" t="s">
        <v>809</v>
      </c>
      <c r="C648" s="5">
        <v>45171</v>
      </c>
      <c r="D648" s="5">
        <v>45201</v>
      </c>
      <c r="E648" s="3">
        <v>3421.02</v>
      </c>
      <c r="F648" t="s">
        <v>815</v>
      </c>
      <c r="G648" t="s">
        <v>816</v>
      </c>
      <c r="H648" s="5" t="s">
        <v>825</v>
      </c>
      <c r="I648" s="7">
        <f t="shared" si="10"/>
        <v>905</v>
      </c>
      <c r="J648" s="13" t="str" cm="1">
        <f t="array" ref="J648">_xlfn.IFS(I648=0, "Settled", I648&lt;=30, "1-30", I648&lt;=90, "31-90", I648&lt;=365, "91-365", I648&gt;365, "1 Year+")</f>
        <v>1 Year+</v>
      </c>
      <c r="K648" t="s">
        <v>819</v>
      </c>
      <c r="L648" s="3" cm="1">
        <f t="array" ref="L648">_xlfn.IFS(F648="AUD",E648*$V$2,F648="CAD",E648*$V$3,F648="EUR",E648*$V$4,F648="GBP",E648*$V$5,F648="USD",E648*$V$6)</f>
        <v>4960.4790000000003</v>
      </c>
      <c r="M648" s="3" cm="1">
        <f t="array" ref="M648">_xlfn.IFS(G648="Paid", L648, G648="Partial", L648*0.5, G648="Open", 0)</f>
        <v>0</v>
      </c>
      <c r="N648" s="3" cm="1">
        <f t="array" ref="N648">_xlfn.IFS(G648="Open", L648, G648="Partial", L648*0.5, G648="Paid", 0)</f>
        <v>4960.4790000000003</v>
      </c>
    </row>
    <row r="649" spans="1:14" x14ac:dyDescent="0.25">
      <c r="A649" t="s">
        <v>653</v>
      </c>
      <c r="B649" t="s">
        <v>809</v>
      </c>
      <c r="C649" s="5">
        <v>45146</v>
      </c>
      <c r="D649" s="5">
        <v>45176</v>
      </c>
      <c r="E649" s="3">
        <v>223.05</v>
      </c>
      <c r="F649" t="s">
        <v>813</v>
      </c>
      <c r="G649" t="s">
        <v>818</v>
      </c>
      <c r="H649" s="5">
        <v>45176</v>
      </c>
      <c r="I649" s="7">
        <f t="shared" si="10"/>
        <v>0</v>
      </c>
      <c r="J649" s="13" t="str" cm="1">
        <f t="array" ref="J649">_xlfn.IFS(I649=0, "Settled", I649&lt;=30, "1-30", I649&lt;=90, "31-90", I649&lt;=365, "91-365", I649&gt;365, "1 Year+")</f>
        <v>Settled</v>
      </c>
      <c r="K649" t="s">
        <v>819</v>
      </c>
      <c r="L649" s="3" cm="1">
        <f t="array" ref="L649">_xlfn.IFS(F649="AUD",E649*$V$2,F649="CAD",E649*$V$3,F649="EUR",E649*$V$4,F649="GBP",E649*$V$5,F649="USD",E649*$V$6)</f>
        <v>167.28750000000002</v>
      </c>
      <c r="M649" s="3" cm="1">
        <f t="array" ref="M649">_xlfn.IFS(G649="Paid", L649, G649="Partial", L649*0.5, G649="Open", 0)</f>
        <v>167.28750000000002</v>
      </c>
      <c r="N649" s="3" cm="1">
        <f t="array" ref="N649">_xlfn.IFS(G649="Open", L649, G649="Partial", L649*0.5, G649="Paid", 0)</f>
        <v>0</v>
      </c>
    </row>
    <row r="650" spans="1:14" x14ac:dyDescent="0.25">
      <c r="A650" t="s">
        <v>654</v>
      </c>
      <c r="B650" t="s">
        <v>806</v>
      </c>
      <c r="C650" s="5">
        <v>45455</v>
      </c>
      <c r="D650" s="5">
        <v>45485</v>
      </c>
      <c r="E650" s="3">
        <v>599.71</v>
      </c>
      <c r="F650" t="s">
        <v>814</v>
      </c>
      <c r="G650" t="s">
        <v>816</v>
      </c>
      <c r="H650" s="5" t="s">
        <v>825</v>
      </c>
      <c r="I650" s="7">
        <f t="shared" si="10"/>
        <v>621</v>
      </c>
      <c r="J650" s="13" t="str" cm="1">
        <f t="array" ref="J650">_xlfn.IFS(I650=0, "Settled", I650&lt;=30, "1-30", I650&lt;=90, "31-90", I650&lt;=365, "91-365", I650&gt;365, "1 Year+")</f>
        <v>1 Year+</v>
      </c>
      <c r="K650" t="s">
        <v>819</v>
      </c>
      <c r="L650" s="3" cm="1">
        <f t="array" ref="L650">_xlfn.IFS(F650="AUD",E650*$V$2,F650="CAD",E650*$V$3,F650="EUR",E650*$V$4,F650="GBP",E650*$V$5,F650="USD",E650*$V$6)</f>
        <v>599.71</v>
      </c>
      <c r="M650" s="3" cm="1">
        <f t="array" ref="M650">_xlfn.IFS(G650="Paid", L650, G650="Partial", L650*0.5, G650="Open", 0)</f>
        <v>0</v>
      </c>
      <c r="N650" s="3" cm="1">
        <f t="array" ref="N650">_xlfn.IFS(G650="Open", L650, G650="Partial", L650*0.5, G650="Paid", 0)</f>
        <v>599.71</v>
      </c>
    </row>
    <row r="651" spans="1:14" x14ac:dyDescent="0.25">
      <c r="A651" t="s">
        <v>655</v>
      </c>
      <c r="B651" t="s">
        <v>806</v>
      </c>
      <c r="C651" s="5">
        <v>45029</v>
      </c>
      <c r="D651" s="5">
        <v>45059</v>
      </c>
      <c r="E651" s="3">
        <v>4739.08</v>
      </c>
      <c r="F651" t="s">
        <v>811</v>
      </c>
      <c r="G651" t="s">
        <v>817</v>
      </c>
      <c r="H651" s="5" t="s">
        <v>825</v>
      </c>
      <c r="I651" s="7">
        <f t="shared" si="10"/>
        <v>1047</v>
      </c>
      <c r="J651" s="13" t="str" cm="1">
        <f t="array" ref="J651">_xlfn.IFS(I651=0, "Settled", I651&lt;=30, "1-30", I651&lt;=90, "31-90", I651&lt;=365, "91-365", I651&gt;365, "1 Year+")</f>
        <v>1 Year+</v>
      </c>
      <c r="K651" t="s">
        <v>819</v>
      </c>
      <c r="L651" s="3" cm="1">
        <f t="array" ref="L651">_xlfn.IFS(F651="AUD",E651*$V$2,F651="CAD",E651*$V$3,F651="EUR",E651*$V$4,F651="GBP",E651*$V$5,F651="USD",E651*$V$6)</f>
        <v>4075.6088</v>
      </c>
      <c r="M651" s="3" cm="1">
        <f t="array" ref="M651">_xlfn.IFS(G651="Paid", L651, G651="Partial", L651*0.5, G651="Open", 0)</f>
        <v>2037.8044</v>
      </c>
      <c r="N651" s="3" cm="1">
        <f t="array" ref="N651">_xlfn.IFS(G651="Open", L651, G651="Partial", L651*0.5, G651="Paid", 0)</f>
        <v>2037.8044</v>
      </c>
    </row>
    <row r="652" spans="1:14" x14ac:dyDescent="0.25">
      <c r="A652" t="s">
        <v>656</v>
      </c>
      <c r="B652" t="s">
        <v>808</v>
      </c>
      <c r="C652" s="5">
        <v>45609</v>
      </c>
      <c r="D652" s="5">
        <v>45639</v>
      </c>
      <c r="E652" s="3">
        <v>332.35</v>
      </c>
      <c r="F652" t="s">
        <v>815</v>
      </c>
      <c r="G652" t="s">
        <v>817</v>
      </c>
      <c r="H652" s="5" t="s">
        <v>825</v>
      </c>
      <c r="I652" s="7">
        <f t="shared" si="10"/>
        <v>467</v>
      </c>
      <c r="J652" s="13" t="str" cm="1">
        <f t="array" ref="J652">_xlfn.IFS(I652=0, "Settled", I652&lt;=30, "1-30", I652&lt;=90, "31-90", I652&lt;=365, "91-365", I652&gt;365, "1 Year+")</f>
        <v>1 Year+</v>
      </c>
      <c r="K652" t="s">
        <v>819</v>
      </c>
      <c r="L652" s="3" cm="1">
        <f t="array" ref="L652">_xlfn.IFS(F652="AUD",E652*$V$2,F652="CAD",E652*$V$3,F652="EUR",E652*$V$4,F652="GBP",E652*$V$5,F652="USD",E652*$V$6)</f>
        <v>481.90750000000003</v>
      </c>
      <c r="M652" s="3" cm="1">
        <f t="array" ref="M652">_xlfn.IFS(G652="Paid", L652, G652="Partial", L652*0.5, G652="Open", 0)</f>
        <v>240.95375000000001</v>
      </c>
      <c r="N652" s="3" cm="1">
        <f t="array" ref="N652">_xlfn.IFS(G652="Open", L652, G652="Partial", L652*0.5, G652="Paid", 0)</f>
        <v>240.95375000000001</v>
      </c>
    </row>
    <row r="653" spans="1:14" x14ac:dyDescent="0.25">
      <c r="A653" t="s">
        <v>657</v>
      </c>
      <c r="B653" t="s">
        <v>806</v>
      </c>
      <c r="C653" s="5">
        <v>45475</v>
      </c>
      <c r="D653" s="5">
        <v>45505</v>
      </c>
      <c r="E653" s="3">
        <v>4746.3999999999996</v>
      </c>
      <c r="F653" t="s">
        <v>814</v>
      </c>
      <c r="G653" t="s">
        <v>818</v>
      </c>
      <c r="H653" s="5">
        <v>45505</v>
      </c>
      <c r="I653" s="7">
        <f t="shared" si="10"/>
        <v>0</v>
      </c>
      <c r="J653" s="13" t="str" cm="1">
        <f t="array" ref="J653">_xlfn.IFS(I653=0, "Settled", I653&lt;=30, "1-30", I653&lt;=90, "31-90", I653&lt;=365, "91-365", I653&gt;365, "1 Year+")</f>
        <v>Settled</v>
      </c>
      <c r="K653" t="s">
        <v>819</v>
      </c>
      <c r="L653" s="3" cm="1">
        <f t="array" ref="L653">_xlfn.IFS(F653="AUD",E653*$V$2,F653="CAD",E653*$V$3,F653="EUR",E653*$V$4,F653="GBP",E653*$V$5,F653="USD",E653*$V$6)</f>
        <v>4746.3999999999996</v>
      </c>
      <c r="M653" s="3" cm="1">
        <f t="array" ref="M653">_xlfn.IFS(G653="Paid", L653, G653="Partial", L653*0.5, G653="Open", 0)</f>
        <v>4746.3999999999996</v>
      </c>
      <c r="N653" s="3" cm="1">
        <f t="array" ref="N653">_xlfn.IFS(G653="Open", L653, G653="Partial", L653*0.5, G653="Paid", 0)</f>
        <v>0</v>
      </c>
    </row>
    <row r="654" spans="1:14" x14ac:dyDescent="0.25">
      <c r="A654" t="s">
        <v>658</v>
      </c>
      <c r="B654" t="s">
        <v>808</v>
      </c>
      <c r="C654" s="5">
        <v>45113</v>
      </c>
      <c r="D654" s="5">
        <v>45143</v>
      </c>
      <c r="E654" s="3">
        <v>4124.6000000000004</v>
      </c>
      <c r="F654" t="s">
        <v>813</v>
      </c>
      <c r="G654" t="s">
        <v>816</v>
      </c>
      <c r="H654" s="5" t="s">
        <v>825</v>
      </c>
      <c r="I654" s="7">
        <f t="shared" si="10"/>
        <v>963</v>
      </c>
      <c r="J654" s="13" t="str" cm="1">
        <f t="array" ref="J654">_xlfn.IFS(I654=0, "Settled", I654&lt;=30, "1-30", I654&lt;=90, "31-90", I654&lt;=365, "91-365", I654&gt;365, "1 Year+")</f>
        <v>1 Year+</v>
      </c>
      <c r="K654" t="s">
        <v>819</v>
      </c>
      <c r="L654" s="3" cm="1">
        <f t="array" ref="L654">_xlfn.IFS(F654="AUD",E654*$V$2,F654="CAD",E654*$V$3,F654="EUR",E654*$V$4,F654="GBP",E654*$V$5,F654="USD",E654*$V$6)</f>
        <v>3093.4500000000003</v>
      </c>
      <c r="M654" s="3" cm="1">
        <f t="array" ref="M654">_xlfn.IFS(G654="Paid", L654, G654="Partial", L654*0.5, G654="Open", 0)</f>
        <v>0</v>
      </c>
      <c r="N654" s="3" cm="1">
        <f t="array" ref="N654">_xlfn.IFS(G654="Open", L654, G654="Partial", L654*0.5, G654="Paid", 0)</f>
        <v>3093.4500000000003</v>
      </c>
    </row>
    <row r="655" spans="1:14" x14ac:dyDescent="0.25">
      <c r="A655" t="s">
        <v>659</v>
      </c>
      <c r="B655" t="s">
        <v>810</v>
      </c>
      <c r="C655" s="5">
        <v>45083</v>
      </c>
      <c r="D655" s="5">
        <v>45113</v>
      </c>
      <c r="E655" s="3">
        <v>1630.69</v>
      </c>
      <c r="F655" t="s">
        <v>813</v>
      </c>
      <c r="G655" t="s">
        <v>818</v>
      </c>
      <c r="H655" s="5">
        <v>45113</v>
      </c>
      <c r="I655" s="7">
        <f t="shared" si="10"/>
        <v>0</v>
      </c>
      <c r="J655" s="13" t="str" cm="1">
        <f t="array" ref="J655">_xlfn.IFS(I655=0, "Settled", I655&lt;=30, "1-30", I655&lt;=90, "31-90", I655&lt;=365, "91-365", I655&gt;365, "1 Year+")</f>
        <v>Settled</v>
      </c>
      <c r="K655" t="s">
        <v>819</v>
      </c>
      <c r="L655" s="3" cm="1">
        <f t="array" ref="L655">_xlfn.IFS(F655="AUD",E655*$V$2,F655="CAD",E655*$V$3,F655="EUR",E655*$V$4,F655="GBP",E655*$V$5,F655="USD",E655*$V$6)</f>
        <v>1223.0174999999999</v>
      </c>
      <c r="M655" s="3" cm="1">
        <f t="array" ref="M655">_xlfn.IFS(G655="Paid", L655, G655="Partial", L655*0.5, G655="Open", 0)</f>
        <v>1223.0174999999999</v>
      </c>
      <c r="N655" s="3" cm="1">
        <f t="array" ref="N655">_xlfn.IFS(G655="Open", L655, G655="Partial", L655*0.5, G655="Paid", 0)</f>
        <v>0</v>
      </c>
    </row>
    <row r="656" spans="1:14" x14ac:dyDescent="0.25">
      <c r="A656" t="s">
        <v>660</v>
      </c>
      <c r="B656" t="s">
        <v>809</v>
      </c>
      <c r="C656" s="5">
        <v>45549</v>
      </c>
      <c r="D656" s="5">
        <v>45579</v>
      </c>
      <c r="E656" s="3">
        <v>4643.99</v>
      </c>
      <c r="F656" t="s">
        <v>813</v>
      </c>
      <c r="G656" t="s">
        <v>817</v>
      </c>
      <c r="H656" s="5" t="s">
        <v>825</v>
      </c>
      <c r="I656" s="7">
        <f t="shared" si="10"/>
        <v>527</v>
      </c>
      <c r="J656" s="13" t="str" cm="1">
        <f t="array" ref="J656">_xlfn.IFS(I656=0, "Settled", I656&lt;=30, "1-30", I656&lt;=90, "31-90", I656&lt;=365, "91-365", I656&gt;365, "1 Year+")</f>
        <v>1 Year+</v>
      </c>
      <c r="K656" t="s">
        <v>819</v>
      </c>
      <c r="L656" s="3" cm="1">
        <f t="array" ref="L656">_xlfn.IFS(F656="AUD",E656*$V$2,F656="CAD",E656*$V$3,F656="EUR",E656*$V$4,F656="GBP",E656*$V$5,F656="USD",E656*$V$6)</f>
        <v>3482.9924999999998</v>
      </c>
      <c r="M656" s="3" cm="1">
        <f t="array" ref="M656">_xlfn.IFS(G656="Paid", L656, G656="Partial", L656*0.5, G656="Open", 0)</f>
        <v>1741.4962499999999</v>
      </c>
      <c r="N656" s="3" cm="1">
        <f t="array" ref="N656">_xlfn.IFS(G656="Open", L656, G656="Partial", L656*0.5, G656="Paid", 0)</f>
        <v>1741.4962499999999</v>
      </c>
    </row>
    <row r="657" spans="1:14" x14ac:dyDescent="0.25">
      <c r="A657" t="s">
        <v>661</v>
      </c>
      <c r="B657" t="s">
        <v>807</v>
      </c>
      <c r="C657" s="5">
        <v>45198</v>
      </c>
      <c r="D657" s="5">
        <v>45228</v>
      </c>
      <c r="E657" s="3">
        <v>121.66</v>
      </c>
      <c r="F657" t="s">
        <v>812</v>
      </c>
      <c r="G657" t="s">
        <v>816</v>
      </c>
      <c r="H657" s="5" t="s">
        <v>825</v>
      </c>
      <c r="I657" s="7">
        <f t="shared" si="10"/>
        <v>878</v>
      </c>
      <c r="J657" s="13" t="str" cm="1">
        <f t="array" ref="J657">_xlfn.IFS(I657=0, "Settled", I657&lt;=30, "1-30", I657&lt;=90, "31-90", I657&lt;=365, "91-365", I657&gt;365, "1 Year+")</f>
        <v>1 Year+</v>
      </c>
      <c r="K657" t="s">
        <v>819</v>
      </c>
      <c r="L657" s="3" cm="1">
        <f t="array" ref="L657">_xlfn.IFS(F657="AUD",E657*$V$2,F657="CAD",E657*$V$3,F657="EUR",E657*$V$4,F657="GBP",E657*$V$5,F657="USD",E657*$V$6)</f>
        <v>167.89079999999998</v>
      </c>
      <c r="M657" s="3" cm="1">
        <f t="array" ref="M657">_xlfn.IFS(G657="Paid", L657, G657="Partial", L657*0.5, G657="Open", 0)</f>
        <v>0</v>
      </c>
      <c r="N657" s="3" cm="1">
        <f t="array" ref="N657">_xlfn.IFS(G657="Open", L657, G657="Partial", L657*0.5, G657="Paid", 0)</f>
        <v>167.89079999999998</v>
      </c>
    </row>
    <row r="658" spans="1:14" x14ac:dyDescent="0.25">
      <c r="A658" t="s">
        <v>662</v>
      </c>
      <c r="B658" t="s">
        <v>808</v>
      </c>
      <c r="C658" s="5">
        <v>45111</v>
      </c>
      <c r="D658" s="5">
        <v>45141</v>
      </c>
      <c r="E658" s="3">
        <v>2464.2399999999998</v>
      </c>
      <c r="F658" t="s">
        <v>814</v>
      </c>
      <c r="G658" t="s">
        <v>817</v>
      </c>
      <c r="H658" s="5" t="s">
        <v>825</v>
      </c>
      <c r="I658" s="7">
        <f t="shared" si="10"/>
        <v>965</v>
      </c>
      <c r="J658" s="13" t="str" cm="1">
        <f t="array" ref="J658">_xlfn.IFS(I658=0, "Settled", I658&lt;=30, "1-30", I658&lt;=90, "31-90", I658&lt;=365, "91-365", I658&gt;365, "1 Year+")</f>
        <v>1 Year+</v>
      </c>
      <c r="K658" t="s">
        <v>819</v>
      </c>
      <c r="L658" s="3" cm="1">
        <f t="array" ref="L658">_xlfn.IFS(F658="AUD",E658*$V$2,F658="CAD",E658*$V$3,F658="EUR",E658*$V$4,F658="GBP",E658*$V$5,F658="USD",E658*$V$6)</f>
        <v>2464.2399999999998</v>
      </c>
      <c r="M658" s="3" cm="1">
        <f t="array" ref="M658">_xlfn.IFS(G658="Paid", L658, G658="Partial", L658*0.5, G658="Open", 0)</f>
        <v>1232.1199999999999</v>
      </c>
      <c r="N658" s="3" cm="1">
        <f t="array" ref="N658">_xlfn.IFS(G658="Open", L658, G658="Partial", L658*0.5, G658="Paid", 0)</f>
        <v>1232.1199999999999</v>
      </c>
    </row>
    <row r="659" spans="1:14" x14ac:dyDescent="0.25">
      <c r="A659" t="s">
        <v>663</v>
      </c>
      <c r="B659" t="s">
        <v>810</v>
      </c>
      <c r="C659" s="5">
        <v>45271</v>
      </c>
      <c r="D659" s="5">
        <v>45301</v>
      </c>
      <c r="E659" s="3">
        <v>4354.51</v>
      </c>
      <c r="F659" t="s">
        <v>813</v>
      </c>
      <c r="G659" t="s">
        <v>817</v>
      </c>
      <c r="H659" s="5" t="s">
        <v>825</v>
      </c>
      <c r="I659" s="7">
        <f t="shared" si="10"/>
        <v>805</v>
      </c>
      <c r="J659" s="13" t="str" cm="1">
        <f t="array" ref="J659">_xlfn.IFS(I659=0, "Settled", I659&lt;=30, "1-30", I659&lt;=90, "31-90", I659&lt;=365, "91-365", I659&gt;365, "1 Year+")</f>
        <v>1 Year+</v>
      </c>
      <c r="K659" t="s">
        <v>819</v>
      </c>
      <c r="L659" s="3" cm="1">
        <f t="array" ref="L659">_xlfn.IFS(F659="AUD",E659*$V$2,F659="CAD",E659*$V$3,F659="EUR",E659*$V$4,F659="GBP",E659*$V$5,F659="USD",E659*$V$6)</f>
        <v>3265.8825000000002</v>
      </c>
      <c r="M659" s="3" cm="1">
        <f t="array" ref="M659">_xlfn.IFS(G659="Paid", L659, G659="Partial", L659*0.5, G659="Open", 0)</f>
        <v>1632.9412500000001</v>
      </c>
      <c r="N659" s="3" cm="1">
        <f t="array" ref="N659">_xlfn.IFS(G659="Open", L659, G659="Partial", L659*0.5, G659="Paid", 0)</f>
        <v>1632.9412500000001</v>
      </c>
    </row>
    <row r="660" spans="1:14" x14ac:dyDescent="0.25">
      <c r="A660" t="s">
        <v>664</v>
      </c>
      <c r="B660" t="s">
        <v>810</v>
      </c>
      <c r="C660" s="5">
        <v>45273</v>
      </c>
      <c r="D660" s="5">
        <v>45303</v>
      </c>
      <c r="E660" s="3">
        <v>1809.68</v>
      </c>
      <c r="F660" t="s">
        <v>814</v>
      </c>
      <c r="G660" t="s">
        <v>817</v>
      </c>
      <c r="H660" s="5" t="s">
        <v>825</v>
      </c>
      <c r="I660" s="7">
        <f t="shared" si="10"/>
        <v>803</v>
      </c>
      <c r="J660" s="13" t="str" cm="1">
        <f t="array" ref="J660">_xlfn.IFS(I660=0, "Settled", I660&lt;=30, "1-30", I660&lt;=90, "31-90", I660&lt;=365, "91-365", I660&gt;365, "1 Year+")</f>
        <v>1 Year+</v>
      </c>
      <c r="K660" t="s">
        <v>819</v>
      </c>
      <c r="L660" s="3" cm="1">
        <f t="array" ref="L660">_xlfn.IFS(F660="AUD",E660*$V$2,F660="CAD",E660*$V$3,F660="EUR",E660*$V$4,F660="GBP",E660*$V$5,F660="USD",E660*$V$6)</f>
        <v>1809.68</v>
      </c>
      <c r="M660" s="3" cm="1">
        <f t="array" ref="M660">_xlfn.IFS(G660="Paid", L660, G660="Partial", L660*0.5, G660="Open", 0)</f>
        <v>904.84</v>
      </c>
      <c r="N660" s="3" cm="1">
        <f t="array" ref="N660">_xlfn.IFS(G660="Open", L660, G660="Partial", L660*0.5, G660="Paid", 0)</f>
        <v>904.84</v>
      </c>
    </row>
    <row r="661" spans="1:14" x14ac:dyDescent="0.25">
      <c r="A661" t="s">
        <v>665</v>
      </c>
      <c r="B661" t="s">
        <v>810</v>
      </c>
      <c r="C661" s="5">
        <v>45588</v>
      </c>
      <c r="D661" s="5">
        <v>45618</v>
      </c>
      <c r="E661" s="3">
        <v>4448.67</v>
      </c>
      <c r="F661" t="s">
        <v>814</v>
      </c>
      <c r="G661" t="s">
        <v>816</v>
      </c>
      <c r="H661" s="5" t="s">
        <v>825</v>
      </c>
      <c r="I661" s="7">
        <f t="shared" si="10"/>
        <v>488</v>
      </c>
      <c r="J661" s="13" t="str" cm="1">
        <f t="array" ref="J661">_xlfn.IFS(I661=0, "Settled", I661&lt;=30, "1-30", I661&lt;=90, "31-90", I661&lt;=365, "91-365", I661&gt;365, "1 Year+")</f>
        <v>1 Year+</v>
      </c>
      <c r="K661" t="s">
        <v>819</v>
      </c>
      <c r="L661" s="3" cm="1">
        <f t="array" ref="L661">_xlfn.IFS(F661="AUD",E661*$V$2,F661="CAD",E661*$V$3,F661="EUR",E661*$V$4,F661="GBP",E661*$V$5,F661="USD",E661*$V$6)</f>
        <v>4448.67</v>
      </c>
      <c r="M661" s="3" cm="1">
        <f t="array" ref="M661">_xlfn.IFS(G661="Paid", L661, G661="Partial", L661*0.5, G661="Open", 0)</f>
        <v>0</v>
      </c>
      <c r="N661" s="3" cm="1">
        <f t="array" ref="N661">_xlfn.IFS(G661="Open", L661, G661="Partial", L661*0.5, G661="Paid", 0)</f>
        <v>4448.67</v>
      </c>
    </row>
    <row r="662" spans="1:14" x14ac:dyDescent="0.25">
      <c r="A662" t="s">
        <v>666</v>
      </c>
      <c r="B662" t="s">
        <v>807</v>
      </c>
      <c r="C662" s="5">
        <v>45810</v>
      </c>
      <c r="D662" s="5">
        <v>45840</v>
      </c>
      <c r="E662" s="3">
        <v>3810.59</v>
      </c>
      <c r="F662" t="s">
        <v>812</v>
      </c>
      <c r="G662" t="s">
        <v>818</v>
      </c>
      <c r="H662" s="5">
        <v>45840</v>
      </c>
      <c r="I662" s="7">
        <f t="shared" si="10"/>
        <v>0</v>
      </c>
      <c r="J662" s="13" t="str" cm="1">
        <f t="array" ref="J662">_xlfn.IFS(I662=0, "Settled", I662&lt;=30, "1-30", I662&lt;=90, "31-90", I662&lt;=365, "91-365", I662&gt;365, "1 Year+")</f>
        <v>Settled</v>
      </c>
      <c r="K662" t="s">
        <v>819</v>
      </c>
      <c r="L662" s="3" cm="1">
        <f t="array" ref="L662">_xlfn.IFS(F662="AUD",E662*$V$2,F662="CAD",E662*$V$3,F662="EUR",E662*$V$4,F662="GBP",E662*$V$5,F662="USD",E662*$V$6)</f>
        <v>5258.6142</v>
      </c>
      <c r="M662" s="3" cm="1">
        <f t="array" ref="M662">_xlfn.IFS(G662="Paid", L662, G662="Partial", L662*0.5, G662="Open", 0)</f>
        <v>5258.6142</v>
      </c>
      <c r="N662" s="3" cm="1">
        <f t="array" ref="N662">_xlfn.IFS(G662="Open", L662, G662="Partial", L662*0.5, G662="Paid", 0)</f>
        <v>0</v>
      </c>
    </row>
    <row r="663" spans="1:14" x14ac:dyDescent="0.25">
      <c r="A663" t="s">
        <v>667</v>
      </c>
      <c r="B663" t="s">
        <v>810</v>
      </c>
      <c r="C663" s="5">
        <v>45433</v>
      </c>
      <c r="D663" s="5">
        <v>45463</v>
      </c>
      <c r="E663" s="3">
        <v>4234.42</v>
      </c>
      <c r="F663" t="s">
        <v>815</v>
      </c>
      <c r="G663" t="s">
        <v>816</v>
      </c>
      <c r="H663" s="5" t="s">
        <v>825</v>
      </c>
      <c r="I663" s="7">
        <f t="shared" si="10"/>
        <v>643</v>
      </c>
      <c r="J663" s="13" t="str" cm="1">
        <f t="array" ref="J663">_xlfn.IFS(I663=0, "Settled", I663&lt;=30, "1-30", I663&lt;=90, "31-90", I663&lt;=365, "91-365", I663&gt;365, "1 Year+")</f>
        <v>1 Year+</v>
      </c>
      <c r="K663" t="s">
        <v>819</v>
      </c>
      <c r="L663" s="3" cm="1">
        <f t="array" ref="L663">_xlfn.IFS(F663="AUD",E663*$V$2,F663="CAD",E663*$V$3,F663="EUR",E663*$V$4,F663="GBP",E663*$V$5,F663="USD",E663*$V$6)</f>
        <v>6139.9089999999997</v>
      </c>
      <c r="M663" s="3" cm="1">
        <f t="array" ref="M663">_xlfn.IFS(G663="Paid", L663, G663="Partial", L663*0.5, G663="Open", 0)</f>
        <v>0</v>
      </c>
      <c r="N663" s="3" cm="1">
        <f t="array" ref="N663">_xlfn.IFS(G663="Open", L663, G663="Partial", L663*0.5, G663="Paid", 0)</f>
        <v>6139.9089999999997</v>
      </c>
    </row>
    <row r="664" spans="1:14" x14ac:dyDescent="0.25">
      <c r="A664" t="s">
        <v>668</v>
      </c>
      <c r="B664" t="s">
        <v>806</v>
      </c>
      <c r="C664" s="5">
        <v>45321</v>
      </c>
      <c r="D664" s="5">
        <v>45351</v>
      </c>
      <c r="E664" s="3">
        <v>2754.86</v>
      </c>
      <c r="F664" t="s">
        <v>813</v>
      </c>
      <c r="G664" t="s">
        <v>817</v>
      </c>
      <c r="H664" s="5" t="s">
        <v>825</v>
      </c>
      <c r="I664" s="7">
        <f t="shared" si="10"/>
        <v>755</v>
      </c>
      <c r="J664" s="13" t="str" cm="1">
        <f t="array" ref="J664">_xlfn.IFS(I664=0, "Settled", I664&lt;=30, "1-30", I664&lt;=90, "31-90", I664&lt;=365, "91-365", I664&gt;365, "1 Year+")</f>
        <v>1 Year+</v>
      </c>
      <c r="K664" t="s">
        <v>819</v>
      </c>
      <c r="L664" s="3" cm="1">
        <f t="array" ref="L664">_xlfn.IFS(F664="AUD",E664*$V$2,F664="CAD",E664*$V$3,F664="EUR",E664*$V$4,F664="GBP",E664*$V$5,F664="USD",E664*$V$6)</f>
        <v>2066.145</v>
      </c>
      <c r="M664" s="3" cm="1">
        <f t="array" ref="M664">_xlfn.IFS(G664="Paid", L664, G664="Partial", L664*0.5, G664="Open", 0)</f>
        <v>1033.0725</v>
      </c>
      <c r="N664" s="3" cm="1">
        <f t="array" ref="N664">_xlfn.IFS(G664="Open", L664, G664="Partial", L664*0.5, G664="Paid", 0)</f>
        <v>1033.0725</v>
      </c>
    </row>
    <row r="665" spans="1:14" x14ac:dyDescent="0.25">
      <c r="A665" t="s">
        <v>669</v>
      </c>
      <c r="B665" t="s">
        <v>810</v>
      </c>
      <c r="C665" s="5">
        <v>45711</v>
      </c>
      <c r="D665" s="5">
        <v>45741</v>
      </c>
      <c r="E665" s="3">
        <v>3198.07</v>
      </c>
      <c r="F665" t="s">
        <v>813</v>
      </c>
      <c r="G665" t="s">
        <v>817</v>
      </c>
      <c r="H665" s="5" t="s">
        <v>825</v>
      </c>
      <c r="I665" s="7">
        <f t="shared" si="10"/>
        <v>365</v>
      </c>
      <c r="J665" s="13" t="str" cm="1">
        <f t="array" ref="J665">_xlfn.IFS(I665=0, "Settled", I665&lt;=30, "1-30", I665&lt;=90, "31-90", I665&lt;=365, "91-365", I665&gt;365, "1 Year+")</f>
        <v>91-365</v>
      </c>
      <c r="K665" t="s">
        <v>819</v>
      </c>
      <c r="L665" s="3" cm="1">
        <f t="array" ref="L665">_xlfn.IFS(F665="AUD",E665*$V$2,F665="CAD",E665*$V$3,F665="EUR",E665*$V$4,F665="GBP",E665*$V$5,F665="USD",E665*$V$6)</f>
        <v>2398.5525000000002</v>
      </c>
      <c r="M665" s="3" cm="1">
        <f t="array" ref="M665">_xlfn.IFS(G665="Paid", L665, G665="Partial", L665*0.5, G665="Open", 0)</f>
        <v>1199.2762500000001</v>
      </c>
      <c r="N665" s="3" cm="1">
        <f t="array" ref="N665">_xlfn.IFS(G665="Open", L665, G665="Partial", L665*0.5, G665="Paid", 0)</f>
        <v>1199.2762500000001</v>
      </c>
    </row>
    <row r="666" spans="1:14" x14ac:dyDescent="0.25">
      <c r="A666" t="s">
        <v>670</v>
      </c>
      <c r="B666" t="s">
        <v>806</v>
      </c>
      <c r="C666" s="5">
        <v>45201</v>
      </c>
      <c r="D666" s="5">
        <v>45231</v>
      </c>
      <c r="E666" s="3">
        <v>3984.98</v>
      </c>
      <c r="F666" t="s">
        <v>811</v>
      </c>
      <c r="G666" t="s">
        <v>817</v>
      </c>
      <c r="H666" s="5" t="s">
        <v>825</v>
      </c>
      <c r="I666" s="7">
        <f t="shared" si="10"/>
        <v>875</v>
      </c>
      <c r="J666" s="13" t="str" cm="1">
        <f t="array" ref="J666">_xlfn.IFS(I666=0, "Settled", I666&lt;=30, "1-30", I666&lt;=90, "31-90", I666&lt;=365, "91-365", I666&gt;365, "1 Year+")</f>
        <v>1 Year+</v>
      </c>
      <c r="K666" t="s">
        <v>819</v>
      </c>
      <c r="L666" s="3" cm="1">
        <f t="array" ref="L666">_xlfn.IFS(F666="AUD",E666*$V$2,F666="CAD",E666*$V$3,F666="EUR",E666*$V$4,F666="GBP",E666*$V$5,F666="USD",E666*$V$6)</f>
        <v>3427.0828000000001</v>
      </c>
      <c r="M666" s="3" cm="1">
        <f t="array" ref="M666">_xlfn.IFS(G666="Paid", L666, G666="Partial", L666*0.5, G666="Open", 0)</f>
        <v>1713.5414000000001</v>
      </c>
      <c r="N666" s="3" cm="1">
        <f t="array" ref="N666">_xlfn.IFS(G666="Open", L666, G666="Partial", L666*0.5, G666="Paid", 0)</f>
        <v>1713.5414000000001</v>
      </c>
    </row>
    <row r="667" spans="1:14" x14ac:dyDescent="0.25">
      <c r="A667" t="s">
        <v>671</v>
      </c>
      <c r="B667" t="s">
        <v>809</v>
      </c>
      <c r="C667" s="5">
        <v>45096</v>
      </c>
      <c r="D667" s="5">
        <v>45126</v>
      </c>
      <c r="E667" s="3">
        <v>4810.12</v>
      </c>
      <c r="F667" t="s">
        <v>814</v>
      </c>
      <c r="G667" t="s">
        <v>816</v>
      </c>
      <c r="H667" s="5" t="s">
        <v>825</v>
      </c>
      <c r="I667" s="7">
        <f t="shared" si="10"/>
        <v>980</v>
      </c>
      <c r="J667" s="13" t="str" cm="1">
        <f t="array" ref="J667">_xlfn.IFS(I667=0, "Settled", I667&lt;=30, "1-30", I667&lt;=90, "31-90", I667&lt;=365, "91-365", I667&gt;365, "1 Year+")</f>
        <v>1 Year+</v>
      </c>
      <c r="K667" t="s">
        <v>819</v>
      </c>
      <c r="L667" s="3" cm="1">
        <f t="array" ref="L667">_xlfn.IFS(F667="AUD",E667*$V$2,F667="CAD",E667*$V$3,F667="EUR",E667*$V$4,F667="GBP",E667*$V$5,F667="USD",E667*$V$6)</f>
        <v>4810.12</v>
      </c>
      <c r="M667" s="3" cm="1">
        <f t="array" ref="M667">_xlfn.IFS(G667="Paid", L667, G667="Partial", L667*0.5, G667="Open", 0)</f>
        <v>0</v>
      </c>
      <c r="N667" s="3" cm="1">
        <f t="array" ref="N667">_xlfn.IFS(G667="Open", L667, G667="Partial", L667*0.5, G667="Paid", 0)</f>
        <v>4810.12</v>
      </c>
    </row>
    <row r="668" spans="1:14" x14ac:dyDescent="0.25">
      <c r="A668" t="s">
        <v>672</v>
      </c>
      <c r="B668" t="s">
        <v>808</v>
      </c>
      <c r="C668" s="5">
        <v>45311</v>
      </c>
      <c r="D668" s="5">
        <v>45341</v>
      </c>
      <c r="E668" s="3">
        <v>4712.91</v>
      </c>
      <c r="F668" t="s">
        <v>811</v>
      </c>
      <c r="G668" t="s">
        <v>816</v>
      </c>
      <c r="H668" s="5" t="s">
        <v>825</v>
      </c>
      <c r="I668" s="7">
        <f t="shared" si="10"/>
        <v>765</v>
      </c>
      <c r="J668" s="13" t="str" cm="1">
        <f t="array" ref="J668">_xlfn.IFS(I668=0, "Settled", I668&lt;=30, "1-30", I668&lt;=90, "31-90", I668&lt;=365, "91-365", I668&gt;365, "1 Year+")</f>
        <v>1 Year+</v>
      </c>
      <c r="K668" t="s">
        <v>819</v>
      </c>
      <c r="L668" s="3" cm="1">
        <f t="array" ref="L668">_xlfn.IFS(F668="AUD",E668*$V$2,F668="CAD",E668*$V$3,F668="EUR",E668*$V$4,F668="GBP",E668*$V$5,F668="USD",E668*$V$6)</f>
        <v>4053.1025999999997</v>
      </c>
      <c r="M668" s="3" cm="1">
        <f t="array" ref="M668">_xlfn.IFS(G668="Paid", L668, G668="Partial", L668*0.5, G668="Open", 0)</f>
        <v>0</v>
      </c>
      <c r="N668" s="3" cm="1">
        <f t="array" ref="N668">_xlfn.IFS(G668="Open", L668, G668="Partial", L668*0.5, G668="Paid", 0)</f>
        <v>4053.1025999999997</v>
      </c>
    </row>
    <row r="669" spans="1:14" x14ac:dyDescent="0.25">
      <c r="A669" t="s">
        <v>673</v>
      </c>
      <c r="B669" t="s">
        <v>806</v>
      </c>
      <c r="C669" s="5">
        <v>45692</v>
      </c>
      <c r="D669" s="5">
        <v>45722</v>
      </c>
      <c r="E669" s="3">
        <v>4624.82</v>
      </c>
      <c r="F669" t="s">
        <v>815</v>
      </c>
      <c r="G669" t="s">
        <v>818</v>
      </c>
      <c r="H669" s="5">
        <v>45722</v>
      </c>
      <c r="I669" s="7">
        <f t="shared" si="10"/>
        <v>0</v>
      </c>
      <c r="J669" s="13" t="str" cm="1">
        <f t="array" ref="J669">_xlfn.IFS(I669=0, "Settled", I669&lt;=30, "1-30", I669&lt;=90, "31-90", I669&lt;=365, "91-365", I669&gt;365, "1 Year+")</f>
        <v>Settled</v>
      </c>
      <c r="K669" t="s">
        <v>819</v>
      </c>
      <c r="L669" s="3" cm="1">
        <f t="array" ref="L669">_xlfn.IFS(F669="AUD",E669*$V$2,F669="CAD",E669*$V$3,F669="EUR",E669*$V$4,F669="GBP",E669*$V$5,F669="USD",E669*$V$6)</f>
        <v>6705.9889999999996</v>
      </c>
      <c r="M669" s="3" cm="1">
        <f t="array" ref="M669">_xlfn.IFS(G669="Paid", L669, G669="Partial", L669*0.5, G669="Open", 0)</f>
        <v>6705.9889999999996</v>
      </c>
      <c r="N669" s="3" cm="1">
        <f t="array" ref="N669">_xlfn.IFS(G669="Open", L669, G669="Partial", L669*0.5, G669="Paid", 0)</f>
        <v>0</v>
      </c>
    </row>
    <row r="670" spans="1:14" x14ac:dyDescent="0.25">
      <c r="A670" t="s">
        <v>674</v>
      </c>
      <c r="B670" t="s">
        <v>810</v>
      </c>
      <c r="C670" s="5">
        <v>45522</v>
      </c>
      <c r="D670" s="5">
        <v>45552</v>
      </c>
      <c r="E670" s="3">
        <v>3779.89</v>
      </c>
      <c r="F670" t="s">
        <v>812</v>
      </c>
      <c r="G670" t="s">
        <v>816</v>
      </c>
      <c r="H670" s="5" t="s">
        <v>825</v>
      </c>
      <c r="I670" s="7">
        <f t="shared" si="10"/>
        <v>554</v>
      </c>
      <c r="J670" s="13" t="str" cm="1">
        <f t="array" ref="J670">_xlfn.IFS(I670=0, "Settled", I670&lt;=30, "1-30", I670&lt;=90, "31-90", I670&lt;=365, "91-365", I670&gt;365, "1 Year+")</f>
        <v>1 Year+</v>
      </c>
      <c r="K670" t="s">
        <v>819</v>
      </c>
      <c r="L670" s="3" cm="1">
        <f t="array" ref="L670">_xlfn.IFS(F670="AUD",E670*$V$2,F670="CAD",E670*$V$3,F670="EUR",E670*$V$4,F670="GBP",E670*$V$5,F670="USD",E670*$V$6)</f>
        <v>5216.2481999999991</v>
      </c>
      <c r="M670" s="3" cm="1">
        <f t="array" ref="M670">_xlfn.IFS(G670="Paid", L670, G670="Partial", L670*0.5, G670="Open", 0)</f>
        <v>0</v>
      </c>
      <c r="N670" s="3" cm="1">
        <f t="array" ref="N670">_xlfn.IFS(G670="Open", L670, G670="Partial", L670*0.5, G670="Paid", 0)</f>
        <v>5216.2481999999991</v>
      </c>
    </row>
    <row r="671" spans="1:14" x14ac:dyDescent="0.25">
      <c r="A671" t="s">
        <v>675</v>
      </c>
      <c r="B671" t="s">
        <v>809</v>
      </c>
      <c r="C671" s="5">
        <v>45118</v>
      </c>
      <c r="D671" s="5">
        <v>45148</v>
      </c>
      <c r="E671" s="3">
        <v>528.42999999999995</v>
      </c>
      <c r="F671" t="s">
        <v>813</v>
      </c>
      <c r="G671" t="s">
        <v>817</v>
      </c>
      <c r="H671" s="5" t="s">
        <v>825</v>
      </c>
      <c r="I671" s="7">
        <f t="shared" si="10"/>
        <v>958</v>
      </c>
      <c r="J671" s="13" t="str" cm="1">
        <f t="array" ref="J671">_xlfn.IFS(I671=0, "Settled", I671&lt;=30, "1-30", I671&lt;=90, "31-90", I671&lt;=365, "91-365", I671&gt;365, "1 Year+")</f>
        <v>1 Year+</v>
      </c>
      <c r="K671" t="s">
        <v>819</v>
      </c>
      <c r="L671" s="3" cm="1">
        <f t="array" ref="L671">_xlfn.IFS(F671="AUD",E671*$V$2,F671="CAD",E671*$V$3,F671="EUR",E671*$V$4,F671="GBP",E671*$V$5,F671="USD",E671*$V$6)</f>
        <v>396.32249999999999</v>
      </c>
      <c r="M671" s="3" cm="1">
        <f t="array" ref="M671">_xlfn.IFS(G671="Paid", L671, G671="Partial", L671*0.5, G671="Open", 0)</f>
        <v>198.16125</v>
      </c>
      <c r="N671" s="3" cm="1">
        <f t="array" ref="N671">_xlfn.IFS(G671="Open", L671, G671="Partial", L671*0.5, G671="Paid", 0)</f>
        <v>198.16125</v>
      </c>
    </row>
    <row r="672" spans="1:14" x14ac:dyDescent="0.25">
      <c r="A672" t="s">
        <v>676</v>
      </c>
      <c r="B672" t="s">
        <v>808</v>
      </c>
      <c r="C672" s="5">
        <v>45305</v>
      </c>
      <c r="D672" s="5">
        <v>45335</v>
      </c>
      <c r="E672" s="3">
        <v>3542.71</v>
      </c>
      <c r="F672" t="s">
        <v>815</v>
      </c>
      <c r="G672" t="s">
        <v>818</v>
      </c>
      <c r="H672" s="5">
        <v>45335</v>
      </c>
      <c r="I672" s="7">
        <f t="shared" si="10"/>
        <v>0</v>
      </c>
      <c r="J672" s="13" t="str" cm="1">
        <f t="array" ref="J672">_xlfn.IFS(I672=0, "Settled", I672&lt;=30, "1-30", I672&lt;=90, "31-90", I672&lt;=365, "91-365", I672&gt;365, "1 Year+")</f>
        <v>Settled</v>
      </c>
      <c r="K672" t="s">
        <v>819</v>
      </c>
      <c r="L672" s="3" cm="1">
        <f t="array" ref="L672">_xlfn.IFS(F672="AUD",E672*$V$2,F672="CAD",E672*$V$3,F672="EUR",E672*$V$4,F672="GBP",E672*$V$5,F672="USD",E672*$V$6)</f>
        <v>5136.9295000000002</v>
      </c>
      <c r="M672" s="3" cm="1">
        <f t="array" ref="M672">_xlfn.IFS(G672="Paid", L672, G672="Partial", L672*0.5, G672="Open", 0)</f>
        <v>5136.9295000000002</v>
      </c>
      <c r="N672" s="3" cm="1">
        <f t="array" ref="N672">_xlfn.IFS(G672="Open", L672, G672="Partial", L672*0.5, G672="Paid", 0)</f>
        <v>0</v>
      </c>
    </row>
    <row r="673" spans="1:14" x14ac:dyDescent="0.25">
      <c r="A673" t="s">
        <v>677</v>
      </c>
      <c r="B673" t="s">
        <v>808</v>
      </c>
      <c r="C673" s="5">
        <v>45824</v>
      </c>
      <c r="D673" s="5">
        <v>45854</v>
      </c>
      <c r="E673" s="3">
        <v>1625.04</v>
      </c>
      <c r="F673" t="s">
        <v>813</v>
      </c>
      <c r="G673" t="s">
        <v>818</v>
      </c>
      <c r="H673" s="5">
        <v>45854</v>
      </c>
      <c r="I673" s="7">
        <f t="shared" si="10"/>
        <v>0</v>
      </c>
      <c r="J673" s="13" t="str" cm="1">
        <f t="array" ref="J673">_xlfn.IFS(I673=0, "Settled", I673&lt;=30, "1-30", I673&lt;=90, "31-90", I673&lt;=365, "91-365", I673&gt;365, "1 Year+")</f>
        <v>Settled</v>
      </c>
      <c r="K673" t="s">
        <v>819</v>
      </c>
      <c r="L673" s="3" cm="1">
        <f t="array" ref="L673">_xlfn.IFS(F673="AUD",E673*$V$2,F673="CAD",E673*$V$3,F673="EUR",E673*$V$4,F673="GBP",E673*$V$5,F673="USD",E673*$V$6)</f>
        <v>1218.78</v>
      </c>
      <c r="M673" s="3" cm="1">
        <f t="array" ref="M673">_xlfn.IFS(G673="Paid", L673, G673="Partial", L673*0.5, G673="Open", 0)</f>
        <v>1218.78</v>
      </c>
      <c r="N673" s="3" cm="1">
        <f t="array" ref="N673">_xlfn.IFS(G673="Open", L673, G673="Partial", L673*0.5, G673="Paid", 0)</f>
        <v>0</v>
      </c>
    </row>
    <row r="674" spans="1:14" x14ac:dyDescent="0.25">
      <c r="A674" t="s">
        <v>678</v>
      </c>
      <c r="B674" t="s">
        <v>807</v>
      </c>
      <c r="C674" s="5">
        <v>45213</v>
      </c>
      <c r="D674" s="5">
        <v>45243</v>
      </c>
      <c r="E674" s="3">
        <v>3513.91</v>
      </c>
      <c r="F674" t="s">
        <v>815</v>
      </c>
      <c r="G674" t="s">
        <v>817</v>
      </c>
      <c r="H674" s="5" t="s">
        <v>825</v>
      </c>
      <c r="I674" s="7">
        <f t="shared" si="10"/>
        <v>863</v>
      </c>
      <c r="J674" s="13" t="str" cm="1">
        <f t="array" ref="J674">_xlfn.IFS(I674=0, "Settled", I674&lt;=30, "1-30", I674&lt;=90, "31-90", I674&lt;=365, "91-365", I674&gt;365, "1 Year+")</f>
        <v>1 Year+</v>
      </c>
      <c r="K674" t="s">
        <v>819</v>
      </c>
      <c r="L674" s="3" cm="1">
        <f t="array" ref="L674">_xlfn.IFS(F674="AUD",E674*$V$2,F674="CAD",E674*$V$3,F674="EUR",E674*$V$4,F674="GBP",E674*$V$5,F674="USD",E674*$V$6)</f>
        <v>5095.1695</v>
      </c>
      <c r="M674" s="3" cm="1">
        <f t="array" ref="M674">_xlfn.IFS(G674="Paid", L674, G674="Partial", L674*0.5, G674="Open", 0)</f>
        <v>2547.58475</v>
      </c>
      <c r="N674" s="3" cm="1">
        <f t="array" ref="N674">_xlfn.IFS(G674="Open", L674, G674="Partial", L674*0.5, G674="Paid", 0)</f>
        <v>2547.58475</v>
      </c>
    </row>
    <row r="675" spans="1:14" x14ac:dyDescent="0.25">
      <c r="A675" t="s">
        <v>679</v>
      </c>
      <c r="B675" t="s">
        <v>810</v>
      </c>
      <c r="C675" s="5">
        <v>45079</v>
      </c>
      <c r="D675" s="5">
        <v>45109</v>
      </c>
      <c r="E675" s="3">
        <v>1005.78</v>
      </c>
      <c r="F675" t="s">
        <v>813</v>
      </c>
      <c r="G675" t="s">
        <v>818</v>
      </c>
      <c r="H675" s="5">
        <v>45109</v>
      </c>
      <c r="I675" s="7">
        <f t="shared" si="10"/>
        <v>0</v>
      </c>
      <c r="J675" s="13" t="str" cm="1">
        <f t="array" ref="J675">_xlfn.IFS(I675=0, "Settled", I675&lt;=30, "1-30", I675&lt;=90, "31-90", I675&lt;=365, "91-365", I675&gt;365, "1 Year+")</f>
        <v>Settled</v>
      </c>
      <c r="K675" t="s">
        <v>819</v>
      </c>
      <c r="L675" s="3" cm="1">
        <f t="array" ref="L675">_xlfn.IFS(F675="AUD",E675*$V$2,F675="CAD",E675*$V$3,F675="EUR",E675*$V$4,F675="GBP",E675*$V$5,F675="USD",E675*$V$6)</f>
        <v>754.33500000000004</v>
      </c>
      <c r="M675" s="3" cm="1">
        <f t="array" ref="M675">_xlfn.IFS(G675="Paid", L675, G675="Partial", L675*0.5, G675="Open", 0)</f>
        <v>754.33500000000004</v>
      </c>
      <c r="N675" s="3" cm="1">
        <f t="array" ref="N675">_xlfn.IFS(G675="Open", L675, G675="Partial", L675*0.5, G675="Paid", 0)</f>
        <v>0</v>
      </c>
    </row>
    <row r="676" spans="1:14" x14ac:dyDescent="0.25">
      <c r="A676" t="s">
        <v>680</v>
      </c>
      <c r="B676" t="s">
        <v>810</v>
      </c>
      <c r="C676" s="5">
        <v>45821</v>
      </c>
      <c r="D676" s="5">
        <v>45851</v>
      </c>
      <c r="E676" s="3">
        <v>4800.13</v>
      </c>
      <c r="F676" t="s">
        <v>815</v>
      </c>
      <c r="G676" t="s">
        <v>817</v>
      </c>
      <c r="H676" s="5" t="s">
        <v>825</v>
      </c>
      <c r="I676" s="7">
        <f t="shared" si="10"/>
        <v>255</v>
      </c>
      <c r="J676" s="13" t="str" cm="1">
        <f t="array" ref="J676">_xlfn.IFS(I676=0, "Settled", I676&lt;=30, "1-30", I676&lt;=90, "31-90", I676&lt;=365, "91-365", I676&gt;365, "1 Year+")</f>
        <v>91-365</v>
      </c>
      <c r="K676" t="s">
        <v>819</v>
      </c>
      <c r="L676" s="3" cm="1">
        <f t="array" ref="L676">_xlfn.IFS(F676="AUD",E676*$V$2,F676="CAD",E676*$V$3,F676="EUR",E676*$V$4,F676="GBP",E676*$V$5,F676="USD",E676*$V$6)</f>
        <v>6960.1885000000002</v>
      </c>
      <c r="M676" s="3" cm="1">
        <f t="array" ref="M676">_xlfn.IFS(G676="Paid", L676, G676="Partial", L676*0.5, G676="Open", 0)</f>
        <v>3480.0942500000001</v>
      </c>
      <c r="N676" s="3" cm="1">
        <f t="array" ref="N676">_xlfn.IFS(G676="Open", L676, G676="Partial", L676*0.5, G676="Paid", 0)</f>
        <v>3480.0942500000001</v>
      </c>
    </row>
    <row r="677" spans="1:14" x14ac:dyDescent="0.25">
      <c r="A677" t="s">
        <v>681</v>
      </c>
      <c r="B677" t="s">
        <v>808</v>
      </c>
      <c r="C677" s="5">
        <v>45760</v>
      </c>
      <c r="D677" s="5">
        <v>45790</v>
      </c>
      <c r="E677" s="3">
        <v>2790.67</v>
      </c>
      <c r="F677" t="s">
        <v>815</v>
      </c>
      <c r="G677" t="s">
        <v>817</v>
      </c>
      <c r="H677" s="5" t="s">
        <v>825</v>
      </c>
      <c r="I677" s="7">
        <f t="shared" si="10"/>
        <v>316</v>
      </c>
      <c r="J677" s="13" t="str" cm="1">
        <f t="array" ref="J677">_xlfn.IFS(I677=0, "Settled", I677&lt;=30, "1-30", I677&lt;=90, "31-90", I677&lt;=365, "91-365", I677&gt;365, "1 Year+")</f>
        <v>91-365</v>
      </c>
      <c r="K677" t="s">
        <v>819</v>
      </c>
      <c r="L677" s="3" cm="1">
        <f t="array" ref="L677">_xlfn.IFS(F677="AUD",E677*$V$2,F677="CAD",E677*$V$3,F677="EUR",E677*$V$4,F677="GBP",E677*$V$5,F677="USD",E677*$V$6)</f>
        <v>4046.4715000000001</v>
      </c>
      <c r="M677" s="3" cm="1">
        <f t="array" ref="M677">_xlfn.IFS(G677="Paid", L677, G677="Partial", L677*0.5, G677="Open", 0)</f>
        <v>2023.2357500000001</v>
      </c>
      <c r="N677" s="3" cm="1">
        <f t="array" ref="N677">_xlfn.IFS(G677="Open", L677, G677="Partial", L677*0.5, G677="Paid", 0)</f>
        <v>2023.2357500000001</v>
      </c>
    </row>
    <row r="678" spans="1:14" x14ac:dyDescent="0.25">
      <c r="A678" t="s">
        <v>682</v>
      </c>
      <c r="B678" t="s">
        <v>810</v>
      </c>
      <c r="C678" s="5">
        <v>44988</v>
      </c>
      <c r="D678" s="5">
        <v>45018</v>
      </c>
      <c r="E678" s="3">
        <v>3677.45</v>
      </c>
      <c r="F678" t="s">
        <v>813</v>
      </c>
      <c r="G678" t="s">
        <v>816</v>
      </c>
      <c r="H678" s="5" t="s">
        <v>825</v>
      </c>
      <c r="I678" s="7">
        <f t="shared" si="10"/>
        <v>1088</v>
      </c>
      <c r="J678" s="13" t="str" cm="1">
        <f t="array" ref="J678">_xlfn.IFS(I678=0, "Settled", I678&lt;=30, "1-30", I678&lt;=90, "31-90", I678&lt;=365, "91-365", I678&gt;365, "1 Year+")</f>
        <v>1 Year+</v>
      </c>
      <c r="K678" t="s">
        <v>819</v>
      </c>
      <c r="L678" s="3" cm="1">
        <f t="array" ref="L678">_xlfn.IFS(F678="AUD",E678*$V$2,F678="CAD",E678*$V$3,F678="EUR",E678*$V$4,F678="GBP",E678*$V$5,F678="USD",E678*$V$6)</f>
        <v>2758.0874999999996</v>
      </c>
      <c r="M678" s="3" cm="1">
        <f t="array" ref="M678">_xlfn.IFS(G678="Paid", L678, G678="Partial", L678*0.5, G678="Open", 0)</f>
        <v>0</v>
      </c>
      <c r="N678" s="3" cm="1">
        <f t="array" ref="N678">_xlfn.IFS(G678="Open", L678, G678="Partial", L678*0.5, G678="Paid", 0)</f>
        <v>2758.0874999999996</v>
      </c>
    </row>
    <row r="679" spans="1:14" x14ac:dyDescent="0.25">
      <c r="A679" t="s">
        <v>683</v>
      </c>
      <c r="B679" t="s">
        <v>807</v>
      </c>
      <c r="C679" s="5">
        <v>44955</v>
      </c>
      <c r="D679" s="5">
        <v>44985</v>
      </c>
      <c r="E679" s="3">
        <v>2795.97</v>
      </c>
      <c r="F679" t="s">
        <v>815</v>
      </c>
      <c r="G679" t="s">
        <v>817</v>
      </c>
      <c r="H679" s="5" t="s">
        <v>825</v>
      </c>
      <c r="I679" s="7">
        <f t="shared" si="10"/>
        <v>1121</v>
      </c>
      <c r="J679" s="13" t="str" cm="1">
        <f t="array" ref="J679">_xlfn.IFS(I679=0, "Settled", I679&lt;=30, "1-30", I679&lt;=90, "31-90", I679&lt;=365, "91-365", I679&gt;365, "1 Year+")</f>
        <v>1 Year+</v>
      </c>
      <c r="K679" t="s">
        <v>819</v>
      </c>
      <c r="L679" s="3" cm="1">
        <f t="array" ref="L679">_xlfn.IFS(F679="AUD",E679*$V$2,F679="CAD",E679*$V$3,F679="EUR",E679*$V$4,F679="GBP",E679*$V$5,F679="USD",E679*$V$6)</f>
        <v>4054.1564999999996</v>
      </c>
      <c r="M679" s="3" cm="1">
        <f t="array" ref="M679">_xlfn.IFS(G679="Paid", L679, G679="Partial", L679*0.5, G679="Open", 0)</f>
        <v>2027.0782499999998</v>
      </c>
      <c r="N679" s="3" cm="1">
        <f t="array" ref="N679">_xlfn.IFS(G679="Open", L679, G679="Partial", L679*0.5, G679="Paid", 0)</f>
        <v>2027.0782499999998</v>
      </c>
    </row>
    <row r="680" spans="1:14" x14ac:dyDescent="0.25">
      <c r="A680" t="s">
        <v>684</v>
      </c>
      <c r="B680" t="s">
        <v>807</v>
      </c>
      <c r="C680" s="5">
        <v>45152</v>
      </c>
      <c r="D680" s="5">
        <v>45182</v>
      </c>
      <c r="E680" s="3">
        <v>3609.91</v>
      </c>
      <c r="F680" t="s">
        <v>811</v>
      </c>
      <c r="G680" t="s">
        <v>816</v>
      </c>
      <c r="H680" s="5" t="s">
        <v>825</v>
      </c>
      <c r="I680" s="7">
        <f t="shared" si="10"/>
        <v>924</v>
      </c>
      <c r="J680" s="13" t="str" cm="1">
        <f t="array" ref="J680">_xlfn.IFS(I680=0, "Settled", I680&lt;=30, "1-30", I680&lt;=90, "31-90", I680&lt;=365, "91-365", I680&gt;365, "1 Year+")</f>
        <v>1 Year+</v>
      </c>
      <c r="K680" t="s">
        <v>819</v>
      </c>
      <c r="L680" s="3" cm="1">
        <f t="array" ref="L680">_xlfn.IFS(F680="AUD",E680*$V$2,F680="CAD",E680*$V$3,F680="EUR",E680*$V$4,F680="GBP",E680*$V$5,F680="USD",E680*$V$6)</f>
        <v>3104.5225999999998</v>
      </c>
      <c r="M680" s="3" cm="1">
        <f t="array" ref="M680">_xlfn.IFS(G680="Paid", L680, G680="Partial", L680*0.5, G680="Open", 0)</f>
        <v>0</v>
      </c>
      <c r="N680" s="3" cm="1">
        <f t="array" ref="N680">_xlfn.IFS(G680="Open", L680, G680="Partial", L680*0.5, G680="Paid", 0)</f>
        <v>3104.5225999999998</v>
      </c>
    </row>
    <row r="681" spans="1:14" x14ac:dyDescent="0.25">
      <c r="A681" t="s">
        <v>685</v>
      </c>
      <c r="B681" t="s">
        <v>808</v>
      </c>
      <c r="C681" s="5">
        <v>45467</v>
      </c>
      <c r="D681" s="5">
        <v>45497</v>
      </c>
      <c r="E681" s="3">
        <v>415.41</v>
      </c>
      <c r="F681" t="s">
        <v>812</v>
      </c>
      <c r="G681" t="s">
        <v>816</v>
      </c>
      <c r="H681" s="5" t="s">
        <v>825</v>
      </c>
      <c r="I681" s="7">
        <f t="shared" si="10"/>
        <v>609</v>
      </c>
      <c r="J681" s="13" t="str" cm="1">
        <f t="array" ref="J681">_xlfn.IFS(I681=0, "Settled", I681&lt;=30, "1-30", I681&lt;=90, "31-90", I681&lt;=365, "91-365", I681&gt;365, "1 Year+")</f>
        <v>1 Year+</v>
      </c>
      <c r="K681" t="s">
        <v>819</v>
      </c>
      <c r="L681" s="3" cm="1">
        <f t="array" ref="L681">_xlfn.IFS(F681="AUD",E681*$V$2,F681="CAD",E681*$V$3,F681="EUR",E681*$V$4,F681="GBP",E681*$V$5,F681="USD",E681*$V$6)</f>
        <v>573.26580000000001</v>
      </c>
      <c r="M681" s="3" cm="1">
        <f t="array" ref="M681">_xlfn.IFS(G681="Paid", L681, G681="Partial", L681*0.5, G681="Open", 0)</f>
        <v>0</v>
      </c>
      <c r="N681" s="3" cm="1">
        <f t="array" ref="N681">_xlfn.IFS(G681="Open", L681, G681="Partial", L681*0.5, G681="Paid", 0)</f>
        <v>573.26580000000001</v>
      </c>
    </row>
    <row r="682" spans="1:14" x14ac:dyDescent="0.25">
      <c r="A682" t="s">
        <v>686</v>
      </c>
      <c r="B682" t="s">
        <v>806</v>
      </c>
      <c r="C682" s="5">
        <v>45441</v>
      </c>
      <c r="D682" s="5">
        <v>45471</v>
      </c>
      <c r="E682" s="3">
        <v>3262.02</v>
      </c>
      <c r="F682" t="s">
        <v>811</v>
      </c>
      <c r="G682" t="s">
        <v>817</v>
      </c>
      <c r="H682" s="5" t="s">
        <v>825</v>
      </c>
      <c r="I682" s="7">
        <f t="shared" si="10"/>
        <v>635</v>
      </c>
      <c r="J682" s="13" t="str" cm="1">
        <f t="array" ref="J682">_xlfn.IFS(I682=0, "Settled", I682&lt;=30, "1-30", I682&lt;=90, "31-90", I682&lt;=365, "91-365", I682&gt;365, "1 Year+")</f>
        <v>1 Year+</v>
      </c>
      <c r="K682" t="s">
        <v>819</v>
      </c>
      <c r="L682" s="3" cm="1">
        <f t="array" ref="L682">_xlfn.IFS(F682="AUD",E682*$V$2,F682="CAD",E682*$V$3,F682="EUR",E682*$V$4,F682="GBP",E682*$V$5,F682="USD",E682*$V$6)</f>
        <v>2805.3371999999999</v>
      </c>
      <c r="M682" s="3" cm="1">
        <f t="array" ref="M682">_xlfn.IFS(G682="Paid", L682, G682="Partial", L682*0.5, G682="Open", 0)</f>
        <v>1402.6686</v>
      </c>
      <c r="N682" s="3" cm="1">
        <f t="array" ref="N682">_xlfn.IFS(G682="Open", L682, G682="Partial", L682*0.5, G682="Paid", 0)</f>
        <v>1402.6686</v>
      </c>
    </row>
    <row r="683" spans="1:14" x14ac:dyDescent="0.25">
      <c r="A683" t="s">
        <v>687</v>
      </c>
      <c r="B683" t="s">
        <v>807</v>
      </c>
      <c r="C683" s="5">
        <v>45514</v>
      </c>
      <c r="D683" s="5">
        <v>45544</v>
      </c>
      <c r="E683" s="3">
        <v>386.52</v>
      </c>
      <c r="F683" t="s">
        <v>811</v>
      </c>
      <c r="G683" t="s">
        <v>816</v>
      </c>
      <c r="H683" s="5" t="s">
        <v>825</v>
      </c>
      <c r="I683" s="7">
        <f t="shared" si="10"/>
        <v>562</v>
      </c>
      <c r="J683" s="13" t="str" cm="1">
        <f t="array" ref="J683">_xlfn.IFS(I683=0, "Settled", I683&lt;=30, "1-30", I683&lt;=90, "31-90", I683&lt;=365, "91-365", I683&gt;365, "1 Year+")</f>
        <v>1 Year+</v>
      </c>
      <c r="K683" t="s">
        <v>819</v>
      </c>
      <c r="L683" s="3" cm="1">
        <f t="array" ref="L683">_xlfn.IFS(F683="AUD",E683*$V$2,F683="CAD",E683*$V$3,F683="EUR",E683*$V$4,F683="GBP",E683*$V$5,F683="USD",E683*$V$6)</f>
        <v>332.40719999999999</v>
      </c>
      <c r="M683" s="3" cm="1">
        <f t="array" ref="M683">_xlfn.IFS(G683="Paid", L683, G683="Partial", L683*0.5, G683="Open", 0)</f>
        <v>0</v>
      </c>
      <c r="N683" s="3" cm="1">
        <f t="array" ref="N683">_xlfn.IFS(G683="Open", L683, G683="Partial", L683*0.5, G683="Paid", 0)</f>
        <v>332.40719999999999</v>
      </c>
    </row>
    <row r="684" spans="1:14" x14ac:dyDescent="0.25">
      <c r="A684" t="s">
        <v>688</v>
      </c>
      <c r="B684" t="s">
        <v>810</v>
      </c>
      <c r="C684" s="5">
        <v>45150</v>
      </c>
      <c r="D684" s="5">
        <v>45180</v>
      </c>
      <c r="E684" s="3">
        <v>3339.93</v>
      </c>
      <c r="F684" t="s">
        <v>813</v>
      </c>
      <c r="G684" t="s">
        <v>817</v>
      </c>
      <c r="H684" s="5" t="s">
        <v>825</v>
      </c>
      <c r="I684" s="7">
        <f t="shared" si="10"/>
        <v>926</v>
      </c>
      <c r="J684" s="13" t="str" cm="1">
        <f t="array" ref="J684">_xlfn.IFS(I684=0, "Settled", I684&lt;=30, "1-30", I684&lt;=90, "31-90", I684&lt;=365, "91-365", I684&gt;365, "1 Year+")</f>
        <v>1 Year+</v>
      </c>
      <c r="K684" t="s">
        <v>819</v>
      </c>
      <c r="L684" s="3" cm="1">
        <f t="array" ref="L684">_xlfn.IFS(F684="AUD",E684*$V$2,F684="CAD",E684*$V$3,F684="EUR",E684*$V$4,F684="GBP",E684*$V$5,F684="USD",E684*$V$6)</f>
        <v>2504.9474999999998</v>
      </c>
      <c r="M684" s="3" cm="1">
        <f t="array" ref="M684">_xlfn.IFS(G684="Paid", L684, G684="Partial", L684*0.5, G684="Open", 0)</f>
        <v>1252.4737499999999</v>
      </c>
      <c r="N684" s="3" cm="1">
        <f t="array" ref="N684">_xlfn.IFS(G684="Open", L684, G684="Partial", L684*0.5, G684="Paid", 0)</f>
        <v>1252.4737499999999</v>
      </c>
    </row>
    <row r="685" spans="1:14" x14ac:dyDescent="0.25">
      <c r="A685" t="s">
        <v>689</v>
      </c>
      <c r="B685" t="s">
        <v>808</v>
      </c>
      <c r="C685" s="5">
        <v>45065</v>
      </c>
      <c r="D685" s="5">
        <v>45095</v>
      </c>
      <c r="E685" s="3">
        <v>4195.2</v>
      </c>
      <c r="F685" t="s">
        <v>811</v>
      </c>
      <c r="G685" t="s">
        <v>817</v>
      </c>
      <c r="H685" s="5" t="s">
        <v>825</v>
      </c>
      <c r="I685" s="7">
        <f t="shared" si="10"/>
        <v>1011</v>
      </c>
      <c r="J685" s="13" t="str" cm="1">
        <f t="array" ref="J685">_xlfn.IFS(I685=0, "Settled", I685&lt;=30, "1-30", I685&lt;=90, "31-90", I685&lt;=365, "91-365", I685&gt;365, "1 Year+")</f>
        <v>1 Year+</v>
      </c>
      <c r="K685" t="s">
        <v>819</v>
      </c>
      <c r="L685" s="3" cm="1">
        <f t="array" ref="L685">_xlfn.IFS(F685="AUD",E685*$V$2,F685="CAD",E685*$V$3,F685="EUR",E685*$V$4,F685="GBP",E685*$V$5,F685="USD",E685*$V$6)</f>
        <v>3607.8719999999998</v>
      </c>
      <c r="M685" s="3" cm="1">
        <f t="array" ref="M685">_xlfn.IFS(G685="Paid", L685, G685="Partial", L685*0.5, G685="Open", 0)</f>
        <v>1803.9359999999999</v>
      </c>
      <c r="N685" s="3" cm="1">
        <f t="array" ref="N685">_xlfn.IFS(G685="Open", L685, G685="Partial", L685*0.5, G685="Paid", 0)</f>
        <v>1803.9359999999999</v>
      </c>
    </row>
    <row r="686" spans="1:14" x14ac:dyDescent="0.25">
      <c r="A686" t="s">
        <v>690</v>
      </c>
      <c r="B686" t="s">
        <v>808</v>
      </c>
      <c r="C686" s="5">
        <v>45065</v>
      </c>
      <c r="D686" s="5">
        <v>45095</v>
      </c>
      <c r="E686" s="3">
        <v>2911.89</v>
      </c>
      <c r="F686" t="s">
        <v>811</v>
      </c>
      <c r="G686" t="s">
        <v>816</v>
      </c>
      <c r="H686" s="5" t="s">
        <v>825</v>
      </c>
      <c r="I686" s="7">
        <f t="shared" si="10"/>
        <v>1011</v>
      </c>
      <c r="J686" s="13" t="str" cm="1">
        <f t="array" ref="J686">_xlfn.IFS(I686=0, "Settled", I686&lt;=30, "1-30", I686&lt;=90, "31-90", I686&lt;=365, "91-365", I686&gt;365, "1 Year+")</f>
        <v>1 Year+</v>
      </c>
      <c r="K686" t="s">
        <v>819</v>
      </c>
      <c r="L686" s="3" cm="1">
        <f t="array" ref="L686">_xlfn.IFS(F686="AUD",E686*$V$2,F686="CAD",E686*$V$3,F686="EUR",E686*$V$4,F686="GBP",E686*$V$5,F686="USD",E686*$V$6)</f>
        <v>2504.2253999999998</v>
      </c>
      <c r="M686" s="3" cm="1">
        <f t="array" ref="M686">_xlfn.IFS(G686="Paid", L686, G686="Partial", L686*0.5, G686="Open", 0)</f>
        <v>0</v>
      </c>
      <c r="N686" s="3" cm="1">
        <f t="array" ref="N686">_xlfn.IFS(G686="Open", L686, G686="Partial", L686*0.5, G686="Paid", 0)</f>
        <v>2504.2253999999998</v>
      </c>
    </row>
    <row r="687" spans="1:14" x14ac:dyDescent="0.25">
      <c r="A687" t="s">
        <v>691</v>
      </c>
      <c r="B687" t="s">
        <v>810</v>
      </c>
      <c r="C687" s="5">
        <v>45746</v>
      </c>
      <c r="D687" s="5">
        <v>45776</v>
      </c>
      <c r="E687" s="3">
        <v>1595.21</v>
      </c>
      <c r="F687" t="s">
        <v>812</v>
      </c>
      <c r="G687" t="s">
        <v>816</v>
      </c>
      <c r="H687" s="5" t="s">
        <v>825</v>
      </c>
      <c r="I687" s="7">
        <f t="shared" si="10"/>
        <v>330</v>
      </c>
      <c r="J687" s="13" t="str" cm="1">
        <f t="array" ref="J687">_xlfn.IFS(I687=0, "Settled", I687&lt;=30, "1-30", I687&lt;=90, "31-90", I687&lt;=365, "91-365", I687&gt;365, "1 Year+")</f>
        <v>91-365</v>
      </c>
      <c r="K687" t="s">
        <v>819</v>
      </c>
      <c r="L687" s="3" cm="1">
        <f t="array" ref="L687">_xlfn.IFS(F687="AUD",E687*$V$2,F687="CAD",E687*$V$3,F687="EUR",E687*$V$4,F687="GBP",E687*$V$5,F687="USD",E687*$V$6)</f>
        <v>2201.3897999999999</v>
      </c>
      <c r="M687" s="3" cm="1">
        <f t="array" ref="M687">_xlfn.IFS(G687="Paid", L687, G687="Partial", L687*0.5, G687="Open", 0)</f>
        <v>0</v>
      </c>
      <c r="N687" s="3" cm="1">
        <f t="array" ref="N687">_xlfn.IFS(G687="Open", L687, G687="Partial", L687*0.5, G687="Paid", 0)</f>
        <v>2201.3897999999999</v>
      </c>
    </row>
    <row r="688" spans="1:14" x14ac:dyDescent="0.25">
      <c r="A688" t="s">
        <v>692</v>
      </c>
      <c r="B688" t="s">
        <v>808</v>
      </c>
      <c r="C688" s="5">
        <v>45023</v>
      </c>
      <c r="D688" s="5">
        <v>45053</v>
      </c>
      <c r="E688" s="3">
        <v>2246.04</v>
      </c>
      <c r="F688" t="s">
        <v>811</v>
      </c>
      <c r="G688" t="s">
        <v>816</v>
      </c>
      <c r="H688" s="5" t="s">
        <v>825</v>
      </c>
      <c r="I688" s="7">
        <f t="shared" si="10"/>
        <v>1053</v>
      </c>
      <c r="J688" s="13" t="str" cm="1">
        <f t="array" ref="J688">_xlfn.IFS(I688=0, "Settled", I688&lt;=30, "1-30", I688&lt;=90, "31-90", I688&lt;=365, "91-365", I688&gt;365, "1 Year+")</f>
        <v>1 Year+</v>
      </c>
      <c r="K688" t="s">
        <v>819</v>
      </c>
      <c r="L688" s="3" cm="1">
        <f t="array" ref="L688">_xlfn.IFS(F688="AUD",E688*$V$2,F688="CAD",E688*$V$3,F688="EUR",E688*$V$4,F688="GBP",E688*$V$5,F688="USD",E688*$V$6)</f>
        <v>1931.5944</v>
      </c>
      <c r="M688" s="3" cm="1">
        <f t="array" ref="M688">_xlfn.IFS(G688="Paid", L688, G688="Partial", L688*0.5, G688="Open", 0)</f>
        <v>0</v>
      </c>
      <c r="N688" s="3" cm="1">
        <f t="array" ref="N688">_xlfn.IFS(G688="Open", L688, G688="Partial", L688*0.5, G688="Paid", 0)</f>
        <v>1931.5944</v>
      </c>
    </row>
    <row r="689" spans="1:14" x14ac:dyDescent="0.25">
      <c r="A689" t="s">
        <v>693</v>
      </c>
      <c r="B689" t="s">
        <v>810</v>
      </c>
      <c r="C689" s="5">
        <v>45292</v>
      </c>
      <c r="D689" s="5">
        <v>45322</v>
      </c>
      <c r="E689" s="3">
        <v>560.41999999999996</v>
      </c>
      <c r="F689" t="s">
        <v>811</v>
      </c>
      <c r="G689" t="s">
        <v>818</v>
      </c>
      <c r="H689" s="5">
        <v>45322</v>
      </c>
      <c r="I689" s="7">
        <f t="shared" si="10"/>
        <v>0</v>
      </c>
      <c r="J689" s="13" t="str" cm="1">
        <f t="array" ref="J689">_xlfn.IFS(I689=0, "Settled", I689&lt;=30, "1-30", I689&lt;=90, "31-90", I689&lt;=365, "91-365", I689&gt;365, "1 Year+")</f>
        <v>Settled</v>
      </c>
      <c r="K689" t="s">
        <v>819</v>
      </c>
      <c r="L689" s="3" cm="1">
        <f t="array" ref="L689">_xlfn.IFS(F689="AUD",E689*$V$2,F689="CAD",E689*$V$3,F689="EUR",E689*$V$4,F689="GBP",E689*$V$5,F689="USD",E689*$V$6)</f>
        <v>481.96119999999996</v>
      </c>
      <c r="M689" s="3" cm="1">
        <f t="array" ref="M689">_xlfn.IFS(G689="Paid", L689, G689="Partial", L689*0.5, G689="Open", 0)</f>
        <v>481.96119999999996</v>
      </c>
      <c r="N689" s="3" cm="1">
        <f t="array" ref="N689">_xlfn.IFS(G689="Open", L689, G689="Partial", L689*0.5, G689="Paid", 0)</f>
        <v>0</v>
      </c>
    </row>
    <row r="690" spans="1:14" x14ac:dyDescent="0.25">
      <c r="A690" t="s">
        <v>694</v>
      </c>
      <c r="B690" t="s">
        <v>809</v>
      </c>
      <c r="C690" s="5">
        <v>45259</v>
      </c>
      <c r="D690" s="5">
        <v>45289</v>
      </c>
      <c r="E690" s="3">
        <v>1796.7</v>
      </c>
      <c r="F690" t="s">
        <v>811</v>
      </c>
      <c r="G690" t="s">
        <v>816</v>
      </c>
      <c r="H690" s="5" t="s">
        <v>825</v>
      </c>
      <c r="I690" s="7">
        <f t="shared" si="10"/>
        <v>817</v>
      </c>
      <c r="J690" s="13" t="str" cm="1">
        <f t="array" ref="J690">_xlfn.IFS(I690=0, "Settled", I690&lt;=30, "1-30", I690&lt;=90, "31-90", I690&lt;=365, "91-365", I690&gt;365, "1 Year+")</f>
        <v>1 Year+</v>
      </c>
      <c r="K690" t="s">
        <v>819</v>
      </c>
      <c r="L690" s="3" cm="1">
        <f t="array" ref="L690">_xlfn.IFS(F690="AUD",E690*$V$2,F690="CAD",E690*$V$3,F690="EUR",E690*$V$4,F690="GBP",E690*$V$5,F690="USD",E690*$V$6)</f>
        <v>1545.162</v>
      </c>
      <c r="M690" s="3" cm="1">
        <f t="array" ref="M690">_xlfn.IFS(G690="Paid", L690, G690="Partial", L690*0.5, G690="Open", 0)</f>
        <v>0</v>
      </c>
      <c r="N690" s="3" cm="1">
        <f t="array" ref="N690">_xlfn.IFS(G690="Open", L690, G690="Partial", L690*0.5, G690="Paid", 0)</f>
        <v>1545.162</v>
      </c>
    </row>
    <row r="691" spans="1:14" x14ac:dyDescent="0.25">
      <c r="A691" t="s">
        <v>695</v>
      </c>
      <c r="B691" t="s">
        <v>807</v>
      </c>
      <c r="C691" s="5">
        <v>45444</v>
      </c>
      <c r="D691" s="5">
        <v>45474</v>
      </c>
      <c r="E691" s="3">
        <v>1049.54</v>
      </c>
      <c r="F691" t="s">
        <v>811</v>
      </c>
      <c r="G691" t="s">
        <v>817</v>
      </c>
      <c r="H691" s="5" t="s">
        <v>825</v>
      </c>
      <c r="I691" s="7">
        <f t="shared" si="10"/>
        <v>632</v>
      </c>
      <c r="J691" s="13" t="str" cm="1">
        <f t="array" ref="J691">_xlfn.IFS(I691=0, "Settled", I691&lt;=30, "1-30", I691&lt;=90, "31-90", I691&lt;=365, "91-365", I691&gt;365, "1 Year+")</f>
        <v>1 Year+</v>
      </c>
      <c r="K691" t="s">
        <v>819</v>
      </c>
      <c r="L691" s="3" cm="1">
        <f t="array" ref="L691">_xlfn.IFS(F691="AUD",E691*$V$2,F691="CAD",E691*$V$3,F691="EUR",E691*$V$4,F691="GBP",E691*$V$5,F691="USD",E691*$V$6)</f>
        <v>902.60439999999994</v>
      </c>
      <c r="M691" s="3" cm="1">
        <f t="array" ref="M691">_xlfn.IFS(G691="Paid", L691, G691="Partial", L691*0.5, G691="Open", 0)</f>
        <v>451.30219999999997</v>
      </c>
      <c r="N691" s="3" cm="1">
        <f t="array" ref="N691">_xlfn.IFS(G691="Open", L691, G691="Partial", L691*0.5, G691="Paid", 0)</f>
        <v>451.30219999999997</v>
      </c>
    </row>
    <row r="692" spans="1:14" x14ac:dyDescent="0.25">
      <c r="A692" t="s">
        <v>696</v>
      </c>
      <c r="B692" t="s">
        <v>808</v>
      </c>
      <c r="C692" s="5">
        <v>45178</v>
      </c>
      <c r="D692" s="5">
        <v>45208</v>
      </c>
      <c r="E692" s="3">
        <v>2858.31</v>
      </c>
      <c r="F692" t="s">
        <v>811</v>
      </c>
      <c r="G692" t="s">
        <v>816</v>
      </c>
      <c r="H692" s="5" t="s">
        <v>825</v>
      </c>
      <c r="I692" s="7">
        <f t="shared" si="10"/>
        <v>898</v>
      </c>
      <c r="J692" s="13" t="str" cm="1">
        <f t="array" ref="J692">_xlfn.IFS(I692=0, "Settled", I692&lt;=30, "1-30", I692&lt;=90, "31-90", I692&lt;=365, "91-365", I692&gt;365, "1 Year+")</f>
        <v>1 Year+</v>
      </c>
      <c r="K692" t="s">
        <v>819</v>
      </c>
      <c r="L692" s="3" cm="1">
        <f t="array" ref="L692">_xlfn.IFS(F692="AUD",E692*$V$2,F692="CAD",E692*$V$3,F692="EUR",E692*$V$4,F692="GBP",E692*$V$5,F692="USD",E692*$V$6)</f>
        <v>2458.1466</v>
      </c>
      <c r="M692" s="3" cm="1">
        <f t="array" ref="M692">_xlfn.IFS(G692="Paid", L692, G692="Partial", L692*0.5, G692="Open", 0)</f>
        <v>0</v>
      </c>
      <c r="N692" s="3" cm="1">
        <f t="array" ref="N692">_xlfn.IFS(G692="Open", L692, G692="Partial", L692*0.5, G692="Paid", 0)</f>
        <v>2458.1466</v>
      </c>
    </row>
    <row r="693" spans="1:14" x14ac:dyDescent="0.25">
      <c r="A693" t="s">
        <v>697</v>
      </c>
      <c r="B693" t="s">
        <v>808</v>
      </c>
      <c r="C693" s="5">
        <v>45279</v>
      </c>
      <c r="D693" s="5">
        <v>45309</v>
      </c>
      <c r="E693" s="3">
        <v>2144.37</v>
      </c>
      <c r="F693" t="s">
        <v>812</v>
      </c>
      <c r="G693" t="s">
        <v>816</v>
      </c>
      <c r="H693" s="5" t="s">
        <v>825</v>
      </c>
      <c r="I693" s="7">
        <f t="shared" si="10"/>
        <v>797</v>
      </c>
      <c r="J693" s="13" t="str" cm="1">
        <f t="array" ref="J693">_xlfn.IFS(I693=0, "Settled", I693&lt;=30, "1-30", I693&lt;=90, "31-90", I693&lt;=365, "91-365", I693&gt;365, "1 Year+")</f>
        <v>1 Year+</v>
      </c>
      <c r="K693" t="s">
        <v>819</v>
      </c>
      <c r="L693" s="3" cm="1">
        <f t="array" ref="L693">_xlfn.IFS(F693="AUD",E693*$V$2,F693="CAD",E693*$V$3,F693="EUR",E693*$V$4,F693="GBP",E693*$V$5,F693="USD",E693*$V$6)</f>
        <v>2959.2305999999994</v>
      </c>
      <c r="M693" s="3" cm="1">
        <f t="array" ref="M693">_xlfn.IFS(G693="Paid", L693, G693="Partial", L693*0.5, G693="Open", 0)</f>
        <v>0</v>
      </c>
      <c r="N693" s="3" cm="1">
        <f t="array" ref="N693">_xlfn.IFS(G693="Open", L693, G693="Partial", L693*0.5, G693="Paid", 0)</f>
        <v>2959.2305999999994</v>
      </c>
    </row>
    <row r="694" spans="1:14" x14ac:dyDescent="0.25">
      <c r="A694" t="s">
        <v>698</v>
      </c>
      <c r="B694" t="s">
        <v>809</v>
      </c>
      <c r="C694" s="5">
        <v>45815</v>
      </c>
      <c r="D694" s="5">
        <v>45845</v>
      </c>
      <c r="E694" s="3">
        <v>1051.29</v>
      </c>
      <c r="F694" t="s">
        <v>811</v>
      </c>
      <c r="G694" t="s">
        <v>818</v>
      </c>
      <c r="H694" s="5">
        <v>45845</v>
      </c>
      <c r="I694" s="7">
        <f t="shared" si="10"/>
        <v>0</v>
      </c>
      <c r="J694" s="13" t="str" cm="1">
        <f t="array" ref="J694">_xlfn.IFS(I694=0, "Settled", I694&lt;=30, "1-30", I694&lt;=90, "31-90", I694&lt;=365, "91-365", I694&gt;365, "1 Year+")</f>
        <v>Settled</v>
      </c>
      <c r="K694" t="s">
        <v>819</v>
      </c>
      <c r="L694" s="3" cm="1">
        <f t="array" ref="L694">_xlfn.IFS(F694="AUD",E694*$V$2,F694="CAD",E694*$V$3,F694="EUR",E694*$V$4,F694="GBP",E694*$V$5,F694="USD",E694*$V$6)</f>
        <v>904.10939999999994</v>
      </c>
      <c r="M694" s="3" cm="1">
        <f t="array" ref="M694">_xlfn.IFS(G694="Paid", L694, G694="Partial", L694*0.5, G694="Open", 0)</f>
        <v>904.10939999999994</v>
      </c>
      <c r="N694" s="3" cm="1">
        <f t="array" ref="N694">_xlfn.IFS(G694="Open", L694, G694="Partial", L694*0.5, G694="Paid", 0)</f>
        <v>0</v>
      </c>
    </row>
    <row r="695" spans="1:14" x14ac:dyDescent="0.25">
      <c r="A695" t="s">
        <v>699</v>
      </c>
      <c r="B695" t="s">
        <v>809</v>
      </c>
      <c r="C695" s="5">
        <v>45006</v>
      </c>
      <c r="D695" s="5">
        <v>45036</v>
      </c>
      <c r="E695" s="3">
        <v>212.66</v>
      </c>
      <c r="F695" t="s">
        <v>814</v>
      </c>
      <c r="G695" t="s">
        <v>817</v>
      </c>
      <c r="H695" s="5" t="s">
        <v>825</v>
      </c>
      <c r="I695" s="7">
        <f t="shared" si="10"/>
        <v>1070</v>
      </c>
      <c r="J695" s="13" t="str" cm="1">
        <f t="array" ref="J695">_xlfn.IFS(I695=0, "Settled", I695&lt;=30, "1-30", I695&lt;=90, "31-90", I695&lt;=365, "91-365", I695&gt;365, "1 Year+")</f>
        <v>1 Year+</v>
      </c>
      <c r="K695" t="s">
        <v>819</v>
      </c>
      <c r="L695" s="3" cm="1">
        <f t="array" ref="L695">_xlfn.IFS(F695="AUD",E695*$V$2,F695="CAD",E695*$V$3,F695="EUR",E695*$V$4,F695="GBP",E695*$V$5,F695="USD",E695*$V$6)</f>
        <v>212.66</v>
      </c>
      <c r="M695" s="3" cm="1">
        <f t="array" ref="M695">_xlfn.IFS(G695="Paid", L695, G695="Partial", L695*0.5, G695="Open", 0)</f>
        <v>106.33</v>
      </c>
      <c r="N695" s="3" cm="1">
        <f t="array" ref="N695">_xlfn.IFS(G695="Open", L695, G695="Partial", L695*0.5, G695="Paid", 0)</f>
        <v>106.33</v>
      </c>
    </row>
    <row r="696" spans="1:14" x14ac:dyDescent="0.25">
      <c r="A696" t="s">
        <v>700</v>
      </c>
      <c r="B696" t="s">
        <v>807</v>
      </c>
      <c r="C696" s="5">
        <v>45271</v>
      </c>
      <c r="D696" s="5">
        <v>45301</v>
      </c>
      <c r="E696" s="3">
        <v>2649.88</v>
      </c>
      <c r="F696" t="s">
        <v>811</v>
      </c>
      <c r="G696" t="s">
        <v>818</v>
      </c>
      <c r="H696" s="5">
        <v>45301</v>
      </c>
      <c r="I696" s="7">
        <f t="shared" si="10"/>
        <v>0</v>
      </c>
      <c r="J696" s="13" t="str" cm="1">
        <f t="array" ref="J696">_xlfn.IFS(I696=0, "Settled", I696&lt;=30, "1-30", I696&lt;=90, "31-90", I696&lt;=365, "91-365", I696&gt;365, "1 Year+")</f>
        <v>Settled</v>
      </c>
      <c r="K696" t="s">
        <v>819</v>
      </c>
      <c r="L696" s="3" cm="1">
        <f t="array" ref="L696">_xlfn.IFS(F696="AUD",E696*$V$2,F696="CAD",E696*$V$3,F696="EUR",E696*$V$4,F696="GBP",E696*$V$5,F696="USD",E696*$V$6)</f>
        <v>2278.8968</v>
      </c>
      <c r="M696" s="3" cm="1">
        <f t="array" ref="M696">_xlfn.IFS(G696="Paid", L696, G696="Partial", L696*0.5, G696="Open", 0)</f>
        <v>2278.8968</v>
      </c>
      <c r="N696" s="3" cm="1">
        <f t="array" ref="N696">_xlfn.IFS(G696="Open", L696, G696="Partial", L696*0.5, G696="Paid", 0)</f>
        <v>0</v>
      </c>
    </row>
    <row r="697" spans="1:14" x14ac:dyDescent="0.25">
      <c r="A697" t="s">
        <v>701</v>
      </c>
      <c r="B697" t="s">
        <v>806</v>
      </c>
      <c r="C697" s="5">
        <v>45074</v>
      </c>
      <c r="D697" s="5">
        <v>45104</v>
      </c>
      <c r="E697" s="3">
        <v>2025.22</v>
      </c>
      <c r="F697" t="s">
        <v>813</v>
      </c>
      <c r="G697" t="s">
        <v>816</v>
      </c>
      <c r="H697" s="5" t="s">
        <v>825</v>
      </c>
      <c r="I697" s="7">
        <f t="shared" si="10"/>
        <v>1002</v>
      </c>
      <c r="J697" s="13" t="str" cm="1">
        <f t="array" ref="J697">_xlfn.IFS(I697=0, "Settled", I697&lt;=30, "1-30", I697&lt;=90, "31-90", I697&lt;=365, "91-365", I697&gt;365, "1 Year+")</f>
        <v>1 Year+</v>
      </c>
      <c r="K697" t="s">
        <v>819</v>
      </c>
      <c r="L697" s="3" cm="1">
        <f t="array" ref="L697">_xlfn.IFS(F697="AUD",E697*$V$2,F697="CAD",E697*$V$3,F697="EUR",E697*$V$4,F697="GBP",E697*$V$5,F697="USD",E697*$V$6)</f>
        <v>1518.915</v>
      </c>
      <c r="M697" s="3" cm="1">
        <f t="array" ref="M697">_xlfn.IFS(G697="Paid", L697, G697="Partial", L697*0.5, G697="Open", 0)</f>
        <v>0</v>
      </c>
      <c r="N697" s="3" cm="1">
        <f t="array" ref="N697">_xlfn.IFS(G697="Open", L697, G697="Partial", L697*0.5, G697="Paid", 0)</f>
        <v>1518.915</v>
      </c>
    </row>
    <row r="698" spans="1:14" x14ac:dyDescent="0.25">
      <c r="A698" t="s">
        <v>702</v>
      </c>
      <c r="B698" t="s">
        <v>807</v>
      </c>
      <c r="C698" s="5">
        <v>45779</v>
      </c>
      <c r="D698" s="5">
        <v>45809</v>
      </c>
      <c r="E698" s="3">
        <v>2110.4899999999998</v>
      </c>
      <c r="F698" t="s">
        <v>813</v>
      </c>
      <c r="G698" t="s">
        <v>818</v>
      </c>
      <c r="H698" s="5">
        <v>45809</v>
      </c>
      <c r="I698" s="7">
        <f t="shared" si="10"/>
        <v>0</v>
      </c>
      <c r="J698" s="13" t="str" cm="1">
        <f t="array" ref="J698">_xlfn.IFS(I698=0, "Settled", I698&lt;=30, "1-30", I698&lt;=90, "31-90", I698&lt;=365, "91-365", I698&gt;365, "1 Year+")</f>
        <v>Settled</v>
      </c>
      <c r="K698" t="s">
        <v>819</v>
      </c>
      <c r="L698" s="3" cm="1">
        <f t="array" ref="L698">_xlfn.IFS(F698="AUD",E698*$V$2,F698="CAD",E698*$V$3,F698="EUR",E698*$V$4,F698="GBP",E698*$V$5,F698="USD",E698*$V$6)</f>
        <v>1582.8674999999998</v>
      </c>
      <c r="M698" s="3" cm="1">
        <f t="array" ref="M698">_xlfn.IFS(G698="Paid", L698, G698="Partial", L698*0.5, G698="Open", 0)</f>
        <v>1582.8674999999998</v>
      </c>
      <c r="N698" s="3" cm="1">
        <f t="array" ref="N698">_xlfn.IFS(G698="Open", L698, G698="Partial", L698*0.5, G698="Paid", 0)</f>
        <v>0</v>
      </c>
    </row>
    <row r="699" spans="1:14" x14ac:dyDescent="0.25">
      <c r="A699" t="s">
        <v>703</v>
      </c>
      <c r="B699" t="s">
        <v>807</v>
      </c>
      <c r="C699" s="5">
        <v>45624</v>
      </c>
      <c r="D699" s="5">
        <v>45654</v>
      </c>
      <c r="E699" s="3">
        <v>4740.3</v>
      </c>
      <c r="F699" t="s">
        <v>812</v>
      </c>
      <c r="G699" t="s">
        <v>818</v>
      </c>
      <c r="H699" s="5">
        <v>45654</v>
      </c>
      <c r="I699" s="7">
        <f t="shared" si="10"/>
        <v>0</v>
      </c>
      <c r="J699" s="13" t="str" cm="1">
        <f t="array" ref="J699">_xlfn.IFS(I699=0, "Settled", I699&lt;=30, "1-30", I699&lt;=90, "31-90", I699&lt;=365, "91-365", I699&gt;365, "1 Year+")</f>
        <v>Settled</v>
      </c>
      <c r="K699" t="s">
        <v>819</v>
      </c>
      <c r="L699" s="3" cm="1">
        <f t="array" ref="L699">_xlfn.IFS(F699="AUD",E699*$V$2,F699="CAD",E699*$V$3,F699="EUR",E699*$V$4,F699="GBP",E699*$V$5,F699="USD",E699*$V$6)</f>
        <v>6541.6139999999996</v>
      </c>
      <c r="M699" s="3" cm="1">
        <f t="array" ref="M699">_xlfn.IFS(G699="Paid", L699, G699="Partial", L699*0.5, G699="Open", 0)</f>
        <v>6541.6139999999996</v>
      </c>
      <c r="N699" s="3" cm="1">
        <f t="array" ref="N699">_xlfn.IFS(G699="Open", L699, G699="Partial", L699*0.5, G699="Paid", 0)</f>
        <v>0</v>
      </c>
    </row>
    <row r="700" spans="1:14" x14ac:dyDescent="0.25">
      <c r="A700" t="s">
        <v>704</v>
      </c>
      <c r="B700" t="s">
        <v>810</v>
      </c>
      <c r="C700" s="5">
        <v>45571</v>
      </c>
      <c r="D700" s="5">
        <v>45601</v>
      </c>
      <c r="E700" s="3">
        <v>2511.0500000000002</v>
      </c>
      <c r="F700" t="s">
        <v>812</v>
      </c>
      <c r="G700" t="s">
        <v>817</v>
      </c>
      <c r="H700" s="5" t="s">
        <v>825</v>
      </c>
      <c r="I700" s="7">
        <f t="shared" si="10"/>
        <v>505</v>
      </c>
      <c r="J700" s="13" t="str" cm="1">
        <f t="array" ref="J700">_xlfn.IFS(I700=0, "Settled", I700&lt;=30, "1-30", I700&lt;=90, "31-90", I700&lt;=365, "91-365", I700&gt;365, "1 Year+")</f>
        <v>1 Year+</v>
      </c>
      <c r="K700" t="s">
        <v>819</v>
      </c>
      <c r="L700" s="3" cm="1">
        <f t="array" ref="L700">_xlfn.IFS(F700="AUD",E700*$V$2,F700="CAD",E700*$V$3,F700="EUR",E700*$V$4,F700="GBP",E700*$V$5,F700="USD",E700*$V$6)</f>
        <v>3465.2489999999998</v>
      </c>
      <c r="M700" s="3" cm="1">
        <f t="array" ref="M700">_xlfn.IFS(G700="Paid", L700, G700="Partial", L700*0.5, G700="Open", 0)</f>
        <v>1732.6244999999999</v>
      </c>
      <c r="N700" s="3" cm="1">
        <f t="array" ref="N700">_xlfn.IFS(G700="Open", L700, G700="Partial", L700*0.5, G700="Paid", 0)</f>
        <v>1732.6244999999999</v>
      </c>
    </row>
    <row r="701" spans="1:14" x14ac:dyDescent="0.25">
      <c r="A701" t="s">
        <v>705</v>
      </c>
      <c r="B701" t="s">
        <v>807</v>
      </c>
      <c r="C701" s="5">
        <v>45459</v>
      </c>
      <c r="D701" s="5">
        <v>45489</v>
      </c>
      <c r="E701" s="3">
        <v>1198.06</v>
      </c>
      <c r="F701" t="s">
        <v>814</v>
      </c>
      <c r="G701" t="s">
        <v>816</v>
      </c>
      <c r="H701" s="5" t="s">
        <v>825</v>
      </c>
      <c r="I701" s="7">
        <f t="shared" si="10"/>
        <v>617</v>
      </c>
      <c r="J701" s="13" t="str" cm="1">
        <f t="array" ref="J701">_xlfn.IFS(I701=0, "Settled", I701&lt;=30, "1-30", I701&lt;=90, "31-90", I701&lt;=365, "91-365", I701&gt;365, "1 Year+")</f>
        <v>1 Year+</v>
      </c>
      <c r="K701" t="s">
        <v>819</v>
      </c>
      <c r="L701" s="3" cm="1">
        <f t="array" ref="L701">_xlfn.IFS(F701="AUD",E701*$V$2,F701="CAD",E701*$V$3,F701="EUR",E701*$V$4,F701="GBP",E701*$V$5,F701="USD",E701*$V$6)</f>
        <v>1198.06</v>
      </c>
      <c r="M701" s="3" cm="1">
        <f t="array" ref="M701">_xlfn.IFS(G701="Paid", L701, G701="Partial", L701*0.5, G701="Open", 0)</f>
        <v>0</v>
      </c>
      <c r="N701" s="3" cm="1">
        <f t="array" ref="N701">_xlfn.IFS(G701="Open", L701, G701="Partial", L701*0.5, G701="Paid", 0)</f>
        <v>1198.06</v>
      </c>
    </row>
    <row r="702" spans="1:14" x14ac:dyDescent="0.25">
      <c r="A702" t="s">
        <v>706</v>
      </c>
      <c r="B702" t="s">
        <v>808</v>
      </c>
      <c r="C702" s="5">
        <v>45627</v>
      </c>
      <c r="D702" s="5">
        <v>45657</v>
      </c>
      <c r="E702" s="3">
        <v>4648.54</v>
      </c>
      <c r="F702" t="s">
        <v>814</v>
      </c>
      <c r="G702" t="s">
        <v>817</v>
      </c>
      <c r="H702" s="5" t="s">
        <v>825</v>
      </c>
      <c r="I702" s="7">
        <f t="shared" si="10"/>
        <v>449</v>
      </c>
      <c r="J702" s="13" t="str" cm="1">
        <f t="array" ref="J702">_xlfn.IFS(I702=0, "Settled", I702&lt;=30, "1-30", I702&lt;=90, "31-90", I702&lt;=365, "91-365", I702&gt;365, "1 Year+")</f>
        <v>1 Year+</v>
      </c>
      <c r="K702" t="s">
        <v>819</v>
      </c>
      <c r="L702" s="3" cm="1">
        <f t="array" ref="L702">_xlfn.IFS(F702="AUD",E702*$V$2,F702="CAD",E702*$V$3,F702="EUR",E702*$V$4,F702="GBP",E702*$V$5,F702="USD",E702*$V$6)</f>
        <v>4648.54</v>
      </c>
      <c r="M702" s="3" cm="1">
        <f t="array" ref="M702">_xlfn.IFS(G702="Paid", L702, G702="Partial", L702*0.5, G702="Open", 0)</f>
        <v>2324.27</v>
      </c>
      <c r="N702" s="3" cm="1">
        <f t="array" ref="N702">_xlfn.IFS(G702="Open", L702, G702="Partial", L702*0.5, G702="Paid", 0)</f>
        <v>2324.27</v>
      </c>
    </row>
    <row r="703" spans="1:14" x14ac:dyDescent="0.25">
      <c r="A703" t="s">
        <v>707</v>
      </c>
      <c r="B703" t="s">
        <v>809</v>
      </c>
      <c r="C703" s="5">
        <v>45391</v>
      </c>
      <c r="D703" s="5">
        <v>45421</v>
      </c>
      <c r="E703" s="3">
        <v>1123.9000000000001</v>
      </c>
      <c r="F703" t="s">
        <v>814</v>
      </c>
      <c r="G703" t="s">
        <v>816</v>
      </c>
      <c r="H703" s="5" t="s">
        <v>825</v>
      </c>
      <c r="I703" s="7">
        <f t="shared" si="10"/>
        <v>685</v>
      </c>
      <c r="J703" s="13" t="str" cm="1">
        <f t="array" ref="J703">_xlfn.IFS(I703=0, "Settled", I703&lt;=30, "1-30", I703&lt;=90, "31-90", I703&lt;=365, "91-365", I703&gt;365, "1 Year+")</f>
        <v>1 Year+</v>
      </c>
      <c r="K703" t="s">
        <v>819</v>
      </c>
      <c r="L703" s="3" cm="1">
        <f t="array" ref="L703">_xlfn.IFS(F703="AUD",E703*$V$2,F703="CAD",E703*$V$3,F703="EUR",E703*$V$4,F703="GBP",E703*$V$5,F703="USD",E703*$V$6)</f>
        <v>1123.9000000000001</v>
      </c>
      <c r="M703" s="3" cm="1">
        <f t="array" ref="M703">_xlfn.IFS(G703="Paid", L703, G703="Partial", L703*0.5, G703="Open", 0)</f>
        <v>0</v>
      </c>
      <c r="N703" s="3" cm="1">
        <f t="array" ref="N703">_xlfn.IFS(G703="Open", L703, G703="Partial", L703*0.5, G703="Paid", 0)</f>
        <v>1123.9000000000001</v>
      </c>
    </row>
    <row r="704" spans="1:14" x14ac:dyDescent="0.25">
      <c r="A704" t="s">
        <v>708</v>
      </c>
      <c r="B704" t="s">
        <v>806</v>
      </c>
      <c r="C704" s="5">
        <v>45271</v>
      </c>
      <c r="D704" s="5">
        <v>45301</v>
      </c>
      <c r="E704" s="3">
        <v>137.11000000000001</v>
      </c>
      <c r="F704" t="s">
        <v>814</v>
      </c>
      <c r="G704" t="s">
        <v>817</v>
      </c>
      <c r="H704" s="5" t="s">
        <v>825</v>
      </c>
      <c r="I704" s="7">
        <f t="shared" si="10"/>
        <v>805</v>
      </c>
      <c r="J704" s="13" t="str" cm="1">
        <f t="array" ref="J704">_xlfn.IFS(I704=0, "Settled", I704&lt;=30, "1-30", I704&lt;=90, "31-90", I704&lt;=365, "91-365", I704&gt;365, "1 Year+")</f>
        <v>1 Year+</v>
      </c>
      <c r="K704" t="s">
        <v>819</v>
      </c>
      <c r="L704" s="3" cm="1">
        <f t="array" ref="L704">_xlfn.IFS(F704="AUD",E704*$V$2,F704="CAD",E704*$V$3,F704="EUR",E704*$V$4,F704="GBP",E704*$V$5,F704="USD",E704*$V$6)</f>
        <v>137.11000000000001</v>
      </c>
      <c r="M704" s="3" cm="1">
        <f t="array" ref="M704">_xlfn.IFS(G704="Paid", L704, G704="Partial", L704*0.5, G704="Open", 0)</f>
        <v>68.555000000000007</v>
      </c>
      <c r="N704" s="3" cm="1">
        <f t="array" ref="N704">_xlfn.IFS(G704="Open", L704, G704="Partial", L704*0.5, G704="Paid", 0)</f>
        <v>68.555000000000007</v>
      </c>
    </row>
    <row r="705" spans="1:14" x14ac:dyDescent="0.25">
      <c r="A705" t="s">
        <v>709</v>
      </c>
      <c r="B705" t="s">
        <v>806</v>
      </c>
      <c r="C705" s="5">
        <v>45445</v>
      </c>
      <c r="D705" s="5">
        <v>45475</v>
      </c>
      <c r="E705" s="3">
        <v>1824.99</v>
      </c>
      <c r="F705" t="s">
        <v>811</v>
      </c>
      <c r="G705" t="s">
        <v>818</v>
      </c>
      <c r="H705" s="5">
        <v>45475</v>
      </c>
      <c r="I705" s="7">
        <f t="shared" si="10"/>
        <v>0</v>
      </c>
      <c r="J705" s="13" t="str" cm="1">
        <f t="array" ref="J705">_xlfn.IFS(I705=0, "Settled", I705&lt;=30, "1-30", I705&lt;=90, "31-90", I705&lt;=365, "91-365", I705&gt;365, "1 Year+")</f>
        <v>Settled</v>
      </c>
      <c r="K705" t="s">
        <v>819</v>
      </c>
      <c r="L705" s="3" cm="1">
        <f t="array" ref="L705">_xlfn.IFS(F705="AUD",E705*$V$2,F705="CAD",E705*$V$3,F705="EUR",E705*$V$4,F705="GBP",E705*$V$5,F705="USD",E705*$V$6)</f>
        <v>1569.4913999999999</v>
      </c>
      <c r="M705" s="3" cm="1">
        <f t="array" ref="M705">_xlfn.IFS(G705="Paid", L705, G705="Partial", L705*0.5, G705="Open", 0)</f>
        <v>1569.4913999999999</v>
      </c>
      <c r="N705" s="3" cm="1">
        <f t="array" ref="N705">_xlfn.IFS(G705="Open", L705, G705="Partial", L705*0.5, G705="Paid", 0)</f>
        <v>0</v>
      </c>
    </row>
    <row r="706" spans="1:14" x14ac:dyDescent="0.25">
      <c r="A706" t="s">
        <v>710</v>
      </c>
      <c r="B706" t="s">
        <v>809</v>
      </c>
      <c r="C706" s="5">
        <v>45079</v>
      </c>
      <c r="D706" s="5">
        <v>45109</v>
      </c>
      <c r="E706" s="3">
        <v>3916.78</v>
      </c>
      <c r="F706" t="s">
        <v>813</v>
      </c>
      <c r="G706" t="s">
        <v>817</v>
      </c>
      <c r="H706" s="5" t="s">
        <v>825</v>
      </c>
      <c r="I706" s="7">
        <f t="shared" si="10"/>
        <v>997</v>
      </c>
      <c r="J706" s="13" t="str" cm="1">
        <f t="array" ref="J706">_xlfn.IFS(I706=0, "Settled", I706&lt;=30, "1-30", I706&lt;=90, "31-90", I706&lt;=365, "91-365", I706&gt;365, "1 Year+")</f>
        <v>1 Year+</v>
      </c>
      <c r="K706" t="s">
        <v>819</v>
      </c>
      <c r="L706" s="3" cm="1">
        <f t="array" ref="L706">_xlfn.IFS(F706="AUD",E706*$V$2,F706="CAD",E706*$V$3,F706="EUR",E706*$V$4,F706="GBP",E706*$V$5,F706="USD",E706*$V$6)</f>
        <v>2937.585</v>
      </c>
      <c r="M706" s="3" cm="1">
        <f t="array" ref="M706">_xlfn.IFS(G706="Paid", L706, G706="Partial", L706*0.5, G706="Open", 0)</f>
        <v>1468.7925</v>
      </c>
      <c r="N706" s="3" cm="1">
        <f t="array" ref="N706">_xlfn.IFS(G706="Open", L706, G706="Partial", L706*0.5, G706="Paid", 0)</f>
        <v>1468.7925</v>
      </c>
    </row>
    <row r="707" spans="1:14" x14ac:dyDescent="0.25">
      <c r="A707" t="s">
        <v>711</v>
      </c>
      <c r="B707" t="s">
        <v>808</v>
      </c>
      <c r="C707" s="5">
        <v>45091</v>
      </c>
      <c r="D707" s="5">
        <v>45121</v>
      </c>
      <c r="E707" s="3">
        <v>4748.8999999999996</v>
      </c>
      <c r="F707" t="s">
        <v>815</v>
      </c>
      <c r="G707" t="s">
        <v>817</v>
      </c>
      <c r="H707" s="5" t="s">
        <v>825</v>
      </c>
      <c r="I707" s="7">
        <f t="shared" ref="I707:I770" si="11">IF(G707="Paid",0,DATE(2026,3,25)-D707)</f>
        <v>985</v>
      </c>
      <c r="J707" s="13" t="str" cm="1">
        <f t="array" ref="J707">_xlfn.IFS(I707=0, "Settled", I707&lt;=30, "1-30", I707&lt;=90, "31-90", I707&lt;=365, "91-365", I707&gt;365, "1 Year+")</f>
        <v>1 Year+</v>
      </c>
      <c r="K707" t="s">
        <v>819</v>
      </c>
      <c r="L707" s="3" cm="1">
        <f t="array" ref="L707">_xlfn.IFS(F707="AUD",E707*$V$2,F707="CAD",E707*$V$3,F707="EUR",E707*$V$4,F707="GBP",E707*$V$5,F707="USD",E707*$V$6)</f>
        <v>6885.9049999999988</v>
      </c>
      <c r="M707" s="3" cm="1">
        <f t="array" ref="M707">_xlfn.IFS(G707="Paid", L707, G707="Partial", L707*0.5, G707="Open", 0)</f>
        <v>3442.9524999999994</v>
      </c>
      <c r="N707" s="3" cm="1">
        <f t="array" ref="N707">_xlfn.IFS(G707="Open", L707, G707="Partial", L707*0.5, G707="Paid", 0)</f>
        <v>3442.9524999999994</v>
      </c>
    </row>
    <row r="708" spans="1:14" x14ac:dyDescent="0.25">
      <c r="A708" t="s">
        <v>712</v>
      </c>
      <c r="B708" t="s">
        <v>810</v>
      </c>
      <c r="C708" s="5">
        <v>45770</v>
      </c>
      <c r="D708" s="5">
        <v>45800</v>
      </c>
      <c r="E708" s="3">
        <v>2620.19</v>
      </c>
      <c r="F708" t="s">
        <v>811</v>
      </c>
      <c r="G708" t="s">
        <v>816</v>
      </c>
      <c r="H708" s="5" t="s">
        <v>825</v>
      </c>
      <c r="I708" s="7">
        <f t="shared" si="11"/>
        <v>306</v>
      </c>
      <c r="J708" s="13" t="str" cm="1">
        <f t="array" ref="J708">_xlfn.IFS(I708=0, "Settled", I708&lt;=30, "1-30", I708&lt;=90, "31-90", I708&lt;=365, "91-365", I708&gt;365, "1 Year+")</f>
        <v>91-365</v>
      </c>
      <c r="K708" t="s">
        <v>819</v>
      </c>
      <c r="L708" s="3" cm="1">
        <f t="array" ref="L708">_xlfn.IFS(F708="AUD",E708*$V$2,F708="CAD",E708*$V$3,F708="EUR",E708*$V$4,F708="GBP",E708*$V$5,F708="USD",E708*$V$6)</f>
        <v>2253.3634000000002</v>
      </c>
      <c r="M708" s="3" cm="1">
        <f t="array" ref="M708">_xlfn.IFS(G708="Paid", L708, G708="Partial", L708*0.5, G708="Open", 0)</f>
        <v>0</v>
      </c>
      <c r="N708" s="3" cm="1">
        <f t="array" ref="N708">_xlfn.IFS(G708="Open", L708, G708="Partial", L708*0.5, G708="Paid", 0)</f>
        <v>2253.3634000000002</v>
      </c>
    </row>
    <row r="709" spans="1:14" x14ac:dyDescent="0.25">
      <c r="A709" t="s">
        <v>713</v>
      </c>
      <c r="B709" t="s">
        <v>807</v>
      </c>
      <c r="C709" s="5">
        <v>44990</v>
      </c>
      <c r="D709" s="5">
        <v>45020</v>
      </c>
      <c r="E709" s="3">
        <v>3038.06</v>
      </c>
      <c r="F709" t="s">
        <v>815</v>
      </c>
      <c r="G709" t="s">
        <v>816</v>
      </c>
      <c r="H709" s="5" t="s">
        <v>825</v>
      </c>
      <c r="I709" s="7">
        <f t="shared" si="11"/>
        <v>1086</v>
      </c>
      <c r="J709" s="13" t="str" cm="1">
        <f t="array" ref="J709">_xlfn.IFS(I709=0, "Settled", I709&lt;=30, "1-30", I709&lt;=90, "31-90", I709&lt;=365, "91-365", I709&gt;365, "1 Year+")</f>
        <v>1 Year+</v>
      </c>
      <c r="K709" t="s">
        <v>819</v>
      </c>
      <c r="L709" s="3" cm="1">
        <f t="array" ref="L709">_xlfn.IFS(F709="AUD",E709*$V$2,F709="CAD",E709*$V$3,F709="EUR",E709*$V$4,F709="GBP",E709*$V$5,F709="USD",E709*$V$6)</f>
        <v>4405.1869999999999</v>
      </c>
      <c r="M709" s="3" cm="1">
        <f t="array" ref="M709">_xlfn.IFS(G709="Paid", L709, G709="Partial", L709*0.5, G709="Open", 0)</f>
        <v>0</v>
      </c>
      <c r="N709" s="3" cm="1">
        <f t="array" ref="N709">_xlfn.IFS(G709="Open", L709, G709="Partial", L709*0.5, G709="Paid", 0)</f>
        <v>4405.1869999999999</v>
      </c>
    </row>
    <row r="710" spans="1:14" x14ac:dyDescent="0.25">
      <c r="A710" t="s">
        <v>714</v>
      </c>
      <c r="B710" t="s">
        <v>807</v>
      </c>
      <c r="C710" s="5">
        <v>45275</v>
      </c>
      <c r="D710" s="5">
        <v>45305</v>
      </c>
      <c r="E710" s="3">
        <v>1309.8800000000001</v>
      </c>
      <c r="F710" t="s">
        <v>811</v>
      </c>
      <c r="G710" t="s">
        <v>818</v>
      </c>
      <c r="H710" s="5">
        <v>45305</v>
      </c>
      <c r="I710" s="7">
        <f t="shared" si="11"/>
        <v>0</v>
      </c>
      <c r="J710" s="13" t="str" cm="1">
        <f t="array" ref="J710">_xlfn.IFS(I710=0, "Settled", I710&lt;=30, "1-30", I710&lt;=90, "31-90", I710&lt;=365, "91-365", I710&gt;365, "1 Year+")</f>
        <v>Settled</v>
      </c>
      <c r="K710" t="s">
        <v>819</v>
      </c>
      <c r="L710" s="3" cm="1">
        <f t="array" ref="L710">_xlfn.IFS(F710="AUD",E710*$V$2,F710="CAD",E710*$V$3,F710="EUR",E710*$V$4,F710="GBP",E710*$V$5,F710="USD",E710*$V$6)</f>
        <v>1126.4968000000001</v>
      </c>
      <c r="M710" s="3" cm="1">
        <f t="array" ref="M710">_xlfn.IFS(G710="Paid", L710, G710="Partial", L710*0.5, G710="Open", 0)</f>
        <v>1126.4968000000001</v>
      </c>
      <c r="N710" s="3" cm="1">
        <f t="array" ref="N710">_xlfn.IFS(G710="Open", L710, G710="Partial", L710*0.5, G710="Paid", 0)</f>
        <v>0</v>
      </c>
    </row>
    <row r="711" spans="1:14" x14ac:dyDescent="0.25">
      <c r="A711" t="s">
        <v>715</v>
      </c>
      <c r="B711" t="s">
        <v>808</v>
      </c>
      <c r="C711" s="5">
        <v>45028</v>
      </c>
      <c r="D711" s="5">
        <v>45058</v>
      </c>
      <c r="E711" s="3">
        <v>3542.51</v>
      </c>
      <c r="F711" t="s">
        <v>813</v>
      </c>
      <c r="G711" t="s">
        <v>818</v>
      </c>
      <c r="H711" s="5">
        <v>45058</v>
      </c>
      <c r="I711" s="7">
        <f t="shared" si="11"/>
        <v>0</v>
      </c>
      <c r="J711" s="13" t="str" cm="1">
        <f t="array" ref="J711">_xlfn.IFS(I711=0, "Settled", I711&lt;=30, "1-30", I711&lt;=90, "31-90", I711&lt;=365, "91-365", I711&gt;365, "1 Year+")</f>
        <v>Settled</v>
      </c>
      <c r="K711" t="s">
        <v>819</v>
      </c>
      <c r="L711" s="3" cm="1">
        <f t="array" ref="L711">_xlfn.IFS(F711="AUD",E711*$V$2,F711="CAD",E711*$V$3,F711="EUR",E711*$V$4,F711="GBP",E711*$V$5,F711="USD",E711*$V$6)</f>
        <v>2656.8825000000002</v>
      </c>
      <c r="M711" s="3" cm="1">
        <f t="array" ref="M711">_xlfn.IFS(G711="Paid", L711, G711="Partial", L711*0.5, G711="Open", 0)</f>
        <v>2656.8825000000002</v>
      </c>
      <c r="N711" s="3" cm="1">
        <f t="array" ref="N711">_xlfn.IFS(G711="Open", L711, G711="Partial", L711*0.5, G711="Paid", 0)</f>
        <v>0</v>
      </c>
    </row>
    <row r="712" spans="1:14" x14ac:dyDescent="0.25">
      <c r="A712" t="s">
        <v>716</v>
      </c>
      <c r="B712" t="s">
        <v>806</v>
      </c>
      <c r="C712" s="5">
        <v>44986</v>
      </c>
      <c r="D712" s="5">
        <v>45016</v>
      </c>
      <c r="E712" s="3">
        <v>1785.99</v>
      </c>
      <c r="F712" t="s">
        <v>815</v>
      </c>
      <c r="G712" t="s">
        <v>817</v>
      </c>
      <c r="H712" s="5" t="s">
        <v>825</v>
      </c>
      <c r="I712" s="7">
        <f t="shared" si="11"/>
        <v>1090</v>
      </c>
      <c r="J712" s="13" t="str" cm="1">
        <f t="array" ref="J712">_xlfn.IFS(I712=0, "Settled", I712&lt;=30, "1-30", I712&lt;=90, "31-90", I712&lt;=365, "91-365", I712&gt;365, "1 Year+")</f>
        <v>1 Year+</v>
      </c>
      <c r="K712" t="s">
        <v>819</v>
      </c>
      <c r="L712" s="3" cm="1">
        <f t="array" ref="L712">_xlfn.IFS(F712="AUD",E712*$V$2,F712="CAD",E712*$V$3,F712="EUR",E712*$V$4,F712="GBP",E712*$V$5,F712="USD",E712*$V$6)</f>
        <v>2589.6855</v>
      </c>
      <c r="M712" s="3" cm="1">
        <f t="array" ref="M712">_xlfn.IFS(G712="Paid", L712, G712="Partial", L712*0.5, G712="Open", 0)</f>
        <v>1294.84275</v>
      </c>
      <c r="N712" s="3" cm="1">
        <f t="array" ref="N712">_xlfn.IFS(G712="Open", L712, G712="Partial", L712*0.5, G712="Paid", 0)</f>
        <v>1294.84275</v>
      </c>
    </row>
    <row r="713" spans="1:14" x14ac:dyDescent="0.25">
      <c r="A713" t="s">
        <v>717</v>
      </c>
      <c r="B713" t="s">
        <v>807</v>
      </c>
      <c r="C713" s="5">
        <v>45158</v>
      </c>
      <c r="D713" s="5">
        <v>45188</v>
      </c>
      <c r="E713" s="3">
        <v>2979.86</v>
      </c>
      <c r="F713" t="s">
        <v>812</v>
      </c>
      <c r="G713" t="s">
        <v>818</v>
      </c>
      <c r="H713" s="5">
        <v>45188</v>
      </c>
      <c r="I713" s="7">
        <f t="shared" si="11"/>
        <v>0</v>
      </c>
      <c r="J713" s="13" t="str" cm="1">
        <f t="array" ref="J713">_xlfn.IFS(I713=0, "Settled", I713&lt;=30, "1-30", I713&lt;=90, "31-90", I713&lt;=365, "91-365", I713&gt;365, "1 Year+")</f>
        <v>Settled</v>
      </c>
      <c r="K713" t="s">
        <v>819</v>
      </c>
      <c r="L713" s="3" cm="1">
        <f t="array" ref="L713">_xlfn.IFS(F713="AUD",E713*$V$2,F713="CAD",E713*$V$3,F713="EUR",E713*$V$4,F713="GBP",E713*$V$5,F713="USD",E713*$V$6)</f>
        <v>4112.2067999999999</v>
      </c>
      <c r="M713" s="3" cm="1">
        <f t="array" ref="M713">_xlfn.IFS(G713="Paid", L713, G713="Partial", L713*0.5, G713="Open", 0)</f>
        <v>4112.2067999999999</v>
      </c>
      <c r="N713" s="3" cm="1">
        <f t="array" ref="N713">_xlfn.IFS(G713="Open", L713, G713="Partial", L713*0.5, G713="Paid", 0)</f>
        <v>0</v>
      </c>
    </row>
    <row r="714" spans="1:14" x14ac:dyDescent="0.25">
      <c r="A714" t="s">
        <v>718</v>
      </c>
      <c r="B714" t="s">
        <v>809</v>
      </c>
      <c r="C714" s="5">
        <v>45154</v>
      </c>
      <c r="D714" s="5">
        <v>45184</v>
      </c>
      <c r="E714" s="3">
        <v>3891.24</v>
      </c>
      <c r="F714" t="s">
        <v>813</v>
      </c>
      <c r="G714" t="s">
        <v>817</v>
      </c>
      <c r="H714" s="5" t="s">
        <v>825</v>
      </c>
      <c r="I714" s="7">
        <f t="shared" si="11"/>
        <v>922</v>
      </c>
      <c r="J714" s="13" t="str" cm="1">
        <f t="array" ref="J714">_xlfn.IFS(I714=0, "Settled", I714&lt;=30, "1-30", I714&lt;=90, "31-90", I714&lt;=365, "91-365", I714&gt;365, "1 Year+")</f>
        <v>1 Year+</v>
      </c>
      <c r="K714" t="s">
        <v>819</v>
      </c>
      <c r="L714" s="3" cm="1">
        <f t="array" ref="L714">_xlfn.IFS(F714="AUD",E714*$V$2,F714="CAD",E714*$V$3,F714="EUR",E714*$V$4,F714="GBP",E714*$V$5,F714="USD",E714*$V$6)</f>
        <v>2918.43</v>
      </c>
      <c r="M714" s="3" cm="1">
        <f t="array" ref="M714">_xlfn.IFS(G714="Paid", L714, G714="Partial", L714*0.5, G714="Open", 0)</f>
        <v>1459.2149999999999</v>
      </c>
      <c r="N714" s="3" cm="1">
        <f t="array" ref="N714">_xlfn.IFS(G714="Open", L714, G714="Partial", L714*0.5, G714="Paid", 0)</f>
        <v>1459.2149999999999</v>
      </c>
    </row>
    <row r="715" spans="1:14" x14ac:dyDescent="0.25">
      <c r="A715" t="s">
        <v>719</v>
      </c>
      <c r="B715" t="s">
        <v>807</v>
      </c>
      <c r="C715" s="5">
        <v>45698</v>
      </c>
      <c r="D715" s="5">
        <v>45728</v>
      </c>
      <c r="E715" s="3">
        <v>4674.42</v>
      </c>
      <c r="F715" t="s">
        <v>814</v>
      </c>
      <c r="G715" t="s">
        <v>818</v>
      </c>
      <c r="H715" s="5">
        <v>45728</v>
      </c>
      <c r="I715" s="7">
        <f t="shared" si="11"/>
        <v>0</v>
      </c>
      <c r="J715" s="13" t="str" cm="1">
        <f t="array" ref="J715">_xlfn.IFS(I715=0, "Settled", I715&lt;=30, "1-30", I715&lt;=90, "31-90", I715&lt;=365, "91-365", I715&gt;365, "1 Year+")</f>
        <v>Settled</v>
      </c>
      <c r="K715" t="s">
        <v>819</v>
      </c>
      <c r="L715" s="3" cm="1">
        <f t="array" ref="L715">_xlfn.IFS(F715="AUD",E715*$V$2,F715="CAD",E715*$V$3,F715="EUR",E715*$V$4,F715="GBP",E715*$V$5,F715="USD",E715*$V$6)</f>
        <v>4674.42</v>
      </c>
      <c r="M715" s="3" cm="1">
        <f t="array" ref="M715">_xlfn.IFS(G715="Paid", L715, G715="Partial", L715*0.5, G715="Open", 0)</f>
        <v>4674.42</v>
      </c>
      <c r="N715" s="3" cm="1">
        <f t="array" ref="N715">_xlfn.IFS(G715="Open", L715, G715="Partial", L715*0.5, G715="Paid", 0)</f>
        <v>0</v>
      </c>
    </row>
    <row r="716" spans="1:14" x14ac:dyDescent="0.25">
      <c r="A716" t="s">
        <v>720</v>
      </c>
      <c r="B716" t="s">
        <v>806</v>
      </c>
      <c r="C716" s="5">
        <v>45464</v>
      </c>
      <c r="D716" s="5">
        <v>45494</v>
      </c>
      <c r="E716" s="3">
        <v>2370.71</v>
      </c>
      <c r="F716" t="s">
        <v>813</v>
      </c>
      <c r="G716" t="s">
        <v>817</v>
      </c>
      <c r="H716" s="5" t="s">
        <v>825</v>
      </c>
      <c r="I716" s="7">
        <f t="shared" si="11"/>
        <v>612</v>
      </c>
      <c r="J716" s="13" t="str" cm="1">
        <f t="array" ref="J716">_xlfn.IFS(I716=0, "Settled", I716&lt;=30, "1-30", I716&lt;=90, "31-90", I716&lt;=365, "91-365", I716&gt;365, "1 Year+")</f>
        <v>1 Year+</v>
      </c>
      <c r="K716" t="s">
        <v>819</v>
      </c>
      <c r="L716" s="3" cm="1">
        <f t="array" ref="L716">_xlfn.IFS(F716="AUD",E716*$V$2,F716="CAD",E716*$V$3,F716="EUR",E716*$V$4,F716="GBP",E716*$V$5,F716="USD",E716*$V$6)</f>
        <v>1778.0325</v>
      </c>
      <c r="M716" s="3" cm="1">
        <f t="array" ref="M716">_xlfn.IFS(G716="Paid", L716, G716="Partial", L716*0.5, G716="Open", 0)</f>
        <v>889.01625000000001</v>
      </c>
      <c r="N716" s="3" cm="1">
        <f t="array" ref="N716">_xlfn.IFS(G716="Open", L716, G716="Partial", L716*0.5, G716="Paid", 0)</f>
        <v>889.01625000000001</v>
      </c>
    </row>
    <row r="717" spans="1:14" x14ac:dyDescent="0.25">
      <c r="A717" t="s">
        <v>721</v>
      </c>
      <c r="B717" t="s">
        <v>806</v>
      </c>
      <c r="C717" s="5">
        <v>45168</v>
      </c>
      <c r="D717" s="5">
        <v>45198</v>
      </c>
      <c r="E717" s="3">
        <v>2872.68</v>
      </c>
      <c r="F717" t="s">
        <v>815</v>
      </c>
      <c r="G717" t="s">
        <v>817</v>
      </c>
      <c r="H717" s="5" t="s">
        <v>825</v>
      </c>
      <c r="I717" s="7">
        <f t="shared" si="11"/>
        <v>908</v>
      </c>
      <c r="J717" s="13" t="str" cm="1">
        <f t="array" ref="J717">_xlfn.IFS(I717=0, "Settled", I717&lt;=30, "1-30", I717&lt;=90, "31-90", I717&lt;=365, "91-365", I717&gt;365, "1 Year+")</f>
        <v>1 Year+</v>
      </c>
      <c r="K717" t="s">
        <v>819</v>
      </c>
      <c r="L717" s="3" cm="1">
        <f t="array" ref="L717">_xlfn.IFS(F717="AUD",E717*$V$2,F717="CAD",E717*$V$3,F717="EUR",E717*$V$4,F717="GBP",E717*$V$5,F717="USD",E717*$V$6)</f>
        <v>4165.3859999999995</v>
      </c>
      <c r="M717" s="3" cm="1">
        <f t="array" ref="M717">_xlfn.IFS(G717="Paid", L717, G717="Partial", L717*0.5, G717="Open", 0)</f>
        <v>2082.6929999999998</v>
      </c>
      <c r="N717" s="3" cm="1">
        <f t="array" ref="N717">_xlfn.IFS(G717="Open", L717, G717="Partial", L717*0.5, G717="Paid", 0)</f>
        <v>2082.6929999999998</v>
      </c>
    </row>
    <row r="718" spans="1:14" x14ac:dyDescent="0.25">
      <c r="A718" t="s">
        <v>722</v>
      </c>
      <c r="B718" t="s">
        <v>810</v>
      </c>
      <c r="C718" s="5">
        <v>45246</v>
      </c>
      <c r="D718" s="5">
        <v>45276</v>
      </c>
      <c r="E718" s="3">
        <v>1865.16</v>
      </c>
      <c r="F718" t="s">
        <v>812</v>
      </c>
      <c r="G718" t="s">
        <v>817</v>
      </c>
      <c r="H718" s="5" t="s">
        <v>825</v>
      </c>
      <c r="I718" s="7">
        <f t="shared" si="11"/>
        <v>830</v>
      </c>
      <c r="J718" s="13" t="str" cm="1">
        <f t="array" ref="J718">_xlfn.IFS(I718=0, "Settled", I718&lt;=30, "1-30", I718&lt;=90, "31-90", I718&lt;=365, "91-365", I718&gt;365, "1 Year+")</f>
        <v>1 Year+</v>
      </c>
      <c r="K718" t="s">
        <v>819</v>
      </c>
      <c r="L718" s="3" cm="1">
        <f t="array" ref="L718">_xlfn.IFS(F718="AUD",E718*$V$2,F718="CAD",E718*$V$3,F718="EUR",E718*$V$4,F718="GBP",E718*$V$5,F718="USD",E718*$V$6)</f>
        <v>2573.9207999999999</v>
      </c>
      <c r="M718" s="3" cm="1">
        <f t="array" ref="M718">_xlfn.IFS(G718="Paid", L718, G718="Partial", L718*0.5, G718="Open", 0)</f>
        <v>1286.9603999999999</v>
      </c>
      <c r="N718" s="3" cm="1">
        <f t="array" ref="N718">_xlfn.IFS(G718="Open", L718, G718="Partial", L718*0.5, G718="Paid", 0)</f>
        <v>1286.9603999999999</v>
      </c>
    </row>
    <row r="719" spans="1:14" x14ac:dyDescent="0.25">
      <c r="A719" t="s">
        <v>723</v>
      </c>
      <c r="B719" t="s">
        <v>807</v>
      </c>
      <c r="C719" s="5">
        <v>45005</v>
      </c>
      <c r="D719" s="5">
        <v>45035</v>
      </c>
      <c r="E719" s="3">
        <v>2554.81</v>
      </c>
      <c r="F719" t="s">
        <v>815</v>
      </c>
      <c r="G719" t="s">
        <v>818</v>
      </c>
      <c r="H719" s="5">
        <v>45035</v>
      </c>
      <c r="I719" s="7">
        <f t="shared" si="11"/>
        <v>0</v>
      </c>
      <c r="J719" s="13" t="str" cm="1">
        <f t="array" ref="J719">_xlfn.IFS(I719=0, "Settled", I719&lt;=30, "1-30", I719&lt;=90, "31-90", I719&lt;=365, "91-365", I719&gt;365, "1 Year+")</f>
        <v>Settled</v>
      </c>
      <c r="K719" t="s">
        <v>819</v>
      </c>
      <c r="L719" s="3" cm="1">
        <f t="array" ref="L719">_xlfn.IFS(F719="AUD",E719*$V$2,F719="CAD",E719*$V$3,F719="EUR",E719*$V$4,F719="GBP",E719*$V$5,F719="USD",E719*$V$6)</f>
        <v>3704.4744999999998</v>
      </c>
      <c r="M719" s="3" cm="1">
        <f t="array" ref="M719">_xlfn.IFS(G719="Paid", L719, G719="Partial", L719*0.5, G719="Open", 0)</f>
        <v>3704.4744999999998</v>
      </c>
      <c r="N719" s="3" cm="1">
        <f t="array" ref="N719">_xlfn.IFS(G719="Open", L719, G719="Partial", L719*0.5, G719="Paid", 0)</f>
        <v>0</v>
      </c>
    </row>
    <row r="720" spans="1:14" x14ac:dyDescent="0.25">
      <c r="A720" t="s">
        <v>724</v>
      </c>
      <c r="B720" t="s">
        <v>806</v>
      </c>
      <c r="C720" s="5">
        <v>45615</v>
      </c>
      <c r="D720" s="5">
        <v>45645</v>
      </c>
      <c r="E720" s="3">
        <v>4346.0600000000004</v>
      </c>
      <c r="F720" t="s">
        <v>813</v>
      </c>
      <c r="G720" t="s">
        <v>818</v>
      </c>
      <c r="H720" s="5">
        <v>45645</v>
      </c>
      <c r="I720" s="7">
        <f t="shared" si="11"/>
        <v>0</v>
      </c>
      <c r="J720" s="13" t="str" cm="1">
        <f t="array" ref="J720">_xlfn.IFS(I720=0, "Settled", I720&lt;=30, "1-30", I720&lt;=90, "31-90", I720&lt;=365, "91-365", I720&gt;365, "1 Year+")</f>
        <v>Settled</v>
      </c>
      <c r="K720" t="s">
        <v>819</v>
      </c>
      <c r="L720" s="3" cm="1">
        <f t="array" ref="L720">_xlfn.IFS(F720="AUD",E720*$V$2,F720="CAD",E720*$V$3,F720="EUR",E720*$V$4,F720="GBP",E720*$V$5,F720="USD",E720*$V$6)</f>
        <v>3259.5450000000001</v>
      </c>
      <c r="M720" s="3" cm="1">
        <f t="array" ref="M720">_xlfn.IFS(G720="Paid", L720, G720="Partial", L720*0.5, G720="Open", 0)</f>
        <v>3259.5450000000001</v>
      </c>
      <c r="N720" s="3" cm="1">
        <f t="array" ref="N720">_xlfn.IFS(G720="Open", L720, G720="Partial", L720*0.5, G720="Paid", 0)</f>
        <v>0</v>
      </c>
    </row>
    <row r="721" spans="1:14" x14ac:dyDescent="0.25">
      <c r="A721" t="s">
        <v>725</v>
      </c>
      <c r="B721" t="s">
        <v>806</v>
      </c>
      <c r="C721" s="5">
        <v>45336</v>
      </c>
      <c r="D721" s="5">
        <v>45366</v>
      </c>
      <c r="E721" s="3">
        <v>3898.42</v>
      </c>
      <c r="F721" t="s">
        <v>813</v>
      </c>
      <c r="G721" t="s">
        <v>818</v>
      </c>
      <c r="H721" s="5">
        <v>45366</v>
      </c>
      <c r="I721" s="7">
        <f t="shared" si="11"/>
        <v>0</v>
      </c>
      <c r="J721" s="13" t="str" cm="1">
        <f t="array" ref="J721">_xlfn.IFS(I721=0, "Settled", I721&lt;=30, "1-30", I721&lt;=90, "31-90", I721&lt;=365, "91-365", I721&gt;365, "1 Year+")</f>
        <v>Settled</v>
      </c>
      <c r="K721" t="s">
        <v>819</v>
      </c>
      <c r="L721" s="3" cm="1">
        <f t="array" ref="L721">_xlfn.IFS(F721="AUD",E721*$V$2,F721="CAD",E721*$V$3,F721="EUR",E721*$V$4,F721="GBP",E721*$V$5,F721="USD",E721*$V$6)</f>
        <v>2923.8150000000001</v>
      </c>
      <c r="M721" s="3" cm="1">
        <f t="array" ref="M721">_xlfn.IFS(G721="Paid", L721, G721="Partial", L721*0.5, G721="Open", 0)</f>
        <v>2923.8150000000001</v>
      </c>
      <c r="N721" s="3" cm="1">
        <f t="array" ref="N721">_xlfn.IFS(G721="Open", L721, G721="Partial", L721*0.5, G721="Paid", 0)</f>
        <v>0</v>
      </c>
    </row>
    <row r="722" spans="1:14" x14ac:dyDescent="0.25">
      <c r="A722" t="s">
        <v>726</v>
      </c>
      <c r="B722" t="s">
        <v>810</v>
      </c>
      <c r="C722" s="5">
        <v>45484</v>
      </c>
      <c r="D722" s="5">
        <v>45514</v>
      </c>
      <c r="E722" s="3">
        <v>4765.16</v>
      </c>
      <c r="F722" t="s">
        <v>811</v>
      </c>
      <c r="G722" t="s">
        <v>816</v>
      </c>
      <c r="H722" s="5" t="s">
        <v>825</v>
      </c>
      <c r="I722" s="7">
        <f t="shared" si="11"/>
        <v>592</v>
      </c>
      <c r="J722" s="13" t="str" cm="1">
        <f t="array" ref="J722">_xlfn.IFS(I722=0, "Settled", I722&lt;=30, "1-30", I722&lt;=90, "31-90", I722&lt;=365, "91-365", I722&gt;365, "1 Year+")</f>
        <v>1 Year+</v>
      </c>
      <c r="K722" t="s">
        <v>819</v>
      </c>
      <c r="L722" s="3" cm="1">
        <f t="array" ref="L722">_xlfn.IFS(F722="AUD",E722*$V$2,F722="CAD",E722*$V$3,F722="EUR",E722*$V$4,F722="GBP",E722*$V$5,F722="USD",E722*$V$6)</f>
        <v>4098.0375999999997</v>
      </c>
      <c r="M722" s="3" cm="1">
        <f t="array" ref="M722">_xlfn.IFS(G722="Paid", L722, G722="Partial", L722*0.5, G722="Open", 0)</f>
        <v>0</v>
      </c>
      <c r="N722" s="3" cm="1">
        <f t="array" ref="N722">_xlfn.IFS(G722="Open", L722, G722="Partial", L722*0.5, G722="Paid", 0)</f>
        <v>4098.0375999999997</v>
      </c>
    </row>
    <row r="723" spans="1:14" x14ac:dyDescent="0.25">
      <c r="A723" t="s">
        <v>727</v>
      </c>
      <c r="B723" t="s">
        <v>808</v>
      </c>
      <c r="C723" s="5">
        <v>45487</v>
      </c>
      <c r="D723" s="5">
        <v>45517</v>
      </c>
      <c r="E723" s="3">
        <v>1994.49</v>
      </c>
      <c r="F723" t="s">
        <v>811</v>
      </c>
      <c r="G723" t="s">
        <v>816</v>
      </c>
      <c r="H723" s="5" t="s">
        <v>825</v>
      </c>
      <c r="I723" s="7">
        <f t="shared" si="11"/>
        <v>589</v>
      </c>
      <c r="J723" s="13" t="str" cm="1">
        <f t="array" ref="J723">_xlfn.IFS(I723=0, "Settled", I723&lt;=30, "1-30", I723&lt;=90, "31-90", I723&lt;=365, "91-365", I723&gt;365, "1 Year+")</f>
        <v>1 Year+</v>
      </c>
      <c r="K723" t="s">
        <v>819</v>
      </c>
      <c r="L723" s="3" cm="1">
        <f t="array" ref="L723">_xlfn.IFS(F723="AUD",E723*$V$2,F723="CAD",E723*$V$3,F723="EUR",E723*$V$4,F723="GBP",E723*$V$5,F723="USD",E723*$V$6)</f>
        <v>1715.2614000000001</v>
      </c>
      <c r="M723" s="3" cm="1">
        <f t="array" ref="M723">_xlfn.IFS(G723="Paid", L723, G723="Partial", L723*0.5, G723="Open", 0)</f>
        <v>0</v>
      </c>
      <c r="N723" s="3" cm="1">
        <f t="array" ref="N723">_xlfn.IFS(G723="Open", L723, G723="Partial", L723*0.5, G723="Paid", 0)</f>
        <v>1715.2614000000001</v>
      </c>
    </row>
    <row r="724" spans="1:14" x14ac:dyDescent="0.25">
      <c r="A724" t="s">
        <v>728</v>
      </c>
      <c r="B724" t="s">
        <v>807</v>
      </c>
      <c r="C724" s="5">
        <v>44989</v>
      </c>
      <c r="D724" s="5">
        <v>45019</v>
      </c>
      <c r="E724" s="3">
        <v>4230.24</v>
      </c>
      <c r="F724" t="s">
        <v>813</v>
      </c>
      <c r="G724" t="s">
        <v>816</v>
      </c>
      <c r="H724" s="5" t="s">
        <v>825</v>
      </c>
      <c r="I724" s="7">
        <f t="shared" si="11"/>
        <v>1087</v>
      </c>
      <c r="J724" s="13" t="str" cm="1">
        <f t="array" ref="J724">_xlfn.IFS(I724=0, "Settled", I724&lt;=30, "1-30", I724&lt;=90, "31-90", I724&lt;=365, "91-365", I724&gt;365, "1 Year+")</f>
        <v>1 Year+</v>
      </c>
      <c r="K724" t="s">
        <v>819</v>
      </c>
      <c r="L724" s="3" cm="1">
        <f t="array" ref="L724">_xlfn.IFS(F724="AUD",E724*$V$2,F724="CAD",E724*$V$3,F724="EUR",E724*$V$4,F724="GBP",E724*$V$5,F724="USD",E724*$V$6)</f>
        <v>3172.68</v>
      </c>
      <c r="M724" s="3" cm="1">
        <f t="array" ref="M724">_xlfn.IFS(G724="Paid", L724, G724="Partial", L724*0.5, G724="Open", 0)</f>
        <v>0</v>
      </c>
      <c r="N724" s="3" cm="1">
        <f t="array" ref="N724">_xlfn.IFS(G724="Open", L724, G724="Partial", L724*0.5, G724="Paid", 0)</f>
        <v>3172.68</v>
      </c>
    </row>
    <row r="725" spans="1:14" x14ac:dyDescent="0.25">
      <c r="A725" t="s">
        <v>729</v>
      </c>
      <c r="B725" t="s">
        <v>808</v>
      </c>
      <c r="C725" s="5">
        <v>45556</v>
      </c>
      <c r="D725" s="5">
        <v>45586</v>
      </c>
      <c r="E725" s="3">
        <v>1606.15</v>
      </c>
      <c r="F725" t="s">
        <v>812</v>
      </c>
      <c r="G725" t="s">
        <v>817</v>
      </c>
      <c r="H725" s="5" t="s">
        <v>825</v>
      </c>
      <c r="I725" s="7">
        <f t="shared" si="11"/>
        <v>520</v>
      </c>
      <c r="J725" s="13" t="str" cm="1">
        <f t="array" ref="J725">_xlfn.IFS(I725=0, "Settled", I725&lt;=30, "1-30", I725&lt;=90, "31-90", I725&lt;=365, "91-365", I725&gt;365, "1 Year+")</f>
        <v>1 Year+</v>
      </c>
      <c r="K725" t="s">
        <v>819</v>
      </c>
      <c r="L725" s="3" cm="1">
        <f t="array" ref="L725">_xlfn.IFS(F725="AUD",E725*$V$2,F725="CAD",E725*$V$3,F725="EUR",E725*$V$4,F725="GBP",E725*$V$5,F725="USD",E725*$V$6)</f>
        <v>2216.4870000000001</v>
      </c>
      <c r="M725" s="3" cm="1">
        <f t="array" ref="M725">_xlfn.IFS(G725="Paid", L725, G725="Partial", L725*0.5, G725="Open", 0)</f>
        <v>1108.2435</v>
      </c>
      <c r="N725" s="3" cm="1">
        <f t="array" ref="N725">_xlfn.IFS(G725="Open", L725, G725="Partial", L725*0.5, G725="Paid", 0)</f>
        <v>1108.2435</v>
      </c>
    </row>
    <row r="726" spans="1:14" x14ac:dyDescent="0.25">
      <c r="A726" t="s">
        <v>730</v>
      </c>
      <c r="B726" t="s">
        <v>809</v>
      </c>
      <c r="C726" s="5">
        <v>45562</v>
      </c>
      <c r="D726" s="5">
        <v>45592</v>
      </c>
      <c r="E726" s="3">
        <v>158.24</v>
      </c>
      <c r="F726" t="s">
        <v>815</v>
      </c>
      <c r="G726" t="s">
        <v>816</v>
      </c>
      <c r="H726" s="5" t="s">
        <v>825</v>
      </c>
      <c r="I726" s="7">
        <f t="shared" si="11"/>
        <v>514</v>
      </c>
      <c r="J726" s="13" t="str" cm="1">
        <f t="array" ref="J726">_xlfn.IFS(I726=0, "Settled", I726&lt;=30, "1-30", I726&lt;=90, "31-90", I726&lt;=365, "91-365", I726&gt;365, "1 Year+")</f>
        <v>1 Year+</v>
      </c>
      <c r="K726" t="s">
        <v>819</v>
      </c>
      <c r="L726" s="3" cm="1">
        <f t="array" ref="L726">_xlfn.IFS(F726="AUD",E726*$V$2,F726="CAD",E726*$V$3,F726="EUR",E726*$V$4,F726="GBP",E726*$V$5,F726="USD",E726*$V$6)</f>
        <v>229.44800000000001</v>
      </c>
      <c r="M726" s="3" cm="1">
        <f t="array" ref="M726">_xlfn.IFS(G726="Paid", L726, G726="Partial", L726*0.5, G726="Open", 0)</f>
        <v>0</v>
      </c>
      <c r="N726" s="3" cm="1">
        <f t="array" ref="N726">_xlfn.IFS(G726="Open", L726, G726="Partial", L726*0.5, G726="Paid", 0)</f>
        <v>229.44800000000001</v>
      </c>
    </row>
    <row r="727" spans="1:14" x14ac:dyDescent="0.25">
      <c r="A727" t="s">
        <v>731</v>
      </c>
      <c r="B727" t="s">
        <v>807</v>
      </c>
      <c r="C727" s="5">
        <v>45130</v>
      </c>
      <c r="D727" s="5">
        <v>45160</v>
      </c>
      <c r="E727" s="3">
        <v>4538.8900000000003</v>
      </c>
      <c r="F727" t="s">
        <v>812</v>
      </c>
      <c r="G727" t="s">
        <v>818</v>
      </c>
      <c r="H727" s="5">
        <v>45160</v>
      </c>
      <c r="I727" s="7">
        <f t="shared" si="11"/>
        <v>0</v>
      </c>
      <c r="J727" s="13" t="str" cm="1">
        <f t="array" ref="J727">_xlfn.IFS(I727=0, "Settled", I727&lt;=30, "1-30", I727&lt;=90, "31-90", I727&lt;=365, "91-365", I727&gt;365, "1 Year+")</f>
        <v>Settled</v>
      </c>
      <c r="K727" t="s">
        <v>819</v>
      </c>
      <c r="L727" s="3" cm="1">
        <f t="array" ref="L727">_xlfn.IFS(F727="AUD",E727*$V$2,F727="CAD",E727*$V$3,F727="EUR",E727*$V$4,F727="GBP",E727*$V$5,F727="USD",E727*$V$6)</f>
        <v>6263.6682000000001</v>
      </c>
      <c r="M727" s="3" cm="1">
        <f t="array" ref="M727">_xlfn.IFS(G727="Paid", L727, G727="Partial", L727*0.5, G727="Open", 0)</f>
        <v>6263.6682000000001</v>
      </c>
      <c r="N727" s="3" cm="1">
        <f t="array" ref="N727">_xlfn.IFS(G727="Open", L727, G727="Partial", L727*0.5, G727="Paid", 0)</f>
        <v>0</v>
      </c>
    </row>
    <row r="728" spans="1:14" x14ac:dyDescent="0.25">
      <c r="A728" t="s">
        <v>732</v>
      </c>
      <c r="B728" t="s">
        <v>810</v>
      </c>
      <c r="C728" s="5">
        <v>45603</v>
      </c>
      <c r="D728" s="5">
        <v>45633</v>
      </c>
      <c r="E728" s="3">
        <v>204.27</v>
      </c>
      <c r="F728" t="s">
        <v>811</v>
      </c>
      <c r="G728" t="s">
        <v>816</v>
      </c>
      <c r="H728" s="5" t="s">
        <v>825</v>
      </c>
      <c r="I728" s="7">
        <f t="shared" si="11"/>
        <v>473</v>
      </c>
      <c r="J728" s="13" t="str" cm="1">
        <f t="array" ref="J728">_xlfn.IFS(I728=0, "Settled", I728&lt;=30, "1-30", I728&lt;=90, "31-90", I728&lt;=365, "91-365", I728&gt;365, "1 Year+")</f>
        <v>1 Year+</v>
      </c>
      <c r="K728" t="s">
        <v>819</v>
      </c>
      <c r="L728" s="3" cm="1">
        <f t="array" ref="L728">_xlfn.IFS(F728="AUD",E728*$V$2,F728="CAD",E728*$V$3,F728="EUR",E728*$V$4,F728="GBP",E728*$V$5,F728="USD",E728*$V$6)</f>
        <v>175.6722</v>
      </c>
      <c r="M728" s="3" cm="1">
        <f t="array" ref="M728">_xlfn.IFS(G728="Paid", L728, G728="Partial", L728*0.5, G728="Open", 0)</f>
        <v>0</v>
      </c>
      <c r="N728" s="3" cm="1">
        <f t="array" ref="N728">_xlfn.IFS(G728="Open", L728, G728="Partial", L728*0.5, G728="Paid", 0)</f>
        <v>175.6722</v>
      </c>
    </row>
    <row r="729" spans="1:14" x14ac:dyDescent="0.25">
      <c r="A729" t="s">
        <v>733</v>
      </c>
      <c r="B729" t="s">
        <v>808</v>
      </c>
      <c r="C729" s="5">
        <v>45127</v>
      </c>
      <c r="D729" s="5">
        <v>45157</v>
      </c>
      <c r="E729" s="3">
        <v>3257.13</v>
      </c>
      <c r="F729" t="s">
        <v>813</v>
      </c>
      <c r="G729" t="s">
        <v>817</v>
      </c>
      <c r="H729" s="5" t="s">
        <v>825</v>
      </c>
      <c r="I729" s="7">
        <f t="shared" si="11"/>
        <v>949</v>
      </c>
      <c r="J729" s="13" t="str" cm="1">
        <f t="array" ref="J729">_xlfn.IFS(I729=0, "Settled", I729&lt;=30, "1-30", I729&lt;=90, "31-90", I729&lt;=365, "91-365", I729&gt;365, "1 Year+")</f>
        <v>1 Year+</v>
      </c>
      <c r="K729" t="s">
        <v>819</v>
      </c>
      <c r="L729" s="3" cm="1">
        <f t="array" ref="L729">_xlfn.IFS(F729="AUD",E729*$V$2,F729="CAD",E729*$V$3,F729="EUR",E729*$V$4,F729="GBP",E729*$V$5,F729="USD",E729*$V$6)</f>
        <v>2442.8474999999999</v>
      </c>
      <c r="M729" s="3" cm="1">
        <f t="array" ref="M729">_xlfn.IFS(G729="Paid", L729, G729="Partial", L729*0.5, G729="Open", 0)</f>
        <v>1221.4237499999999</v>
      </c>
      <c r="N729" s="3" cm="1">
        <f t="array" ref="N729">_xlfn.IFS(G729="Open", L729, G729="Partial", L729*0.5, G729="Paid", 0)</f>
        <v>1221.4237499999999</v>
      </c>
    </row>
    <row r="730" spans="1:14" x14ac:dyDescent="0.25">
      <c r="A730" t="s">
        <v>734</v>
      </c>
      <c r="B730" t="s">
        <v>806</v>
      </c>
      <c r="C730" s="5">
        <v>45575</v>
      </c>
      <c r="D730" s="5">
        <v>45605</v>
      </c>
      <c r="E730" s="3">
        <v>488.64</v>
      </c>
      <c r="F730" t="s">
        <v>815</v>
      </c>
      <c r="G730" t="s">
        <v>818</v>
      </c>
      <c r="H730" s="5">
        <v>45605</v>
      </c>
      <c r="I730" s="7">
        <f t="shared" si="11"/>
        <v>0</v>
      </c>
      <c r="J730" s="13" t="str" cm="1">
        <f t="array" ref="J730">_xlfn.IFS(I730=0, "Settled", I730&lt;=30, "1-30", I730&lt;=90, "31-90", I730&lt;=365, "91-365", I730&gt;365, "1 Year+")</f>
        <v>Settled</v>
      </c>
      <c r="K730" t="s">
        <v>819</v>
      </c>
      <c r="L730" s="3" cm="1">
        <f t="array" ref="L730">_xlfn.IFS(F730="AUD",E730*$V$2,F730="CAD",E730*$V$3,F730="EUR",E730*$V$4,F730="GBP",E730*$V$5,F730="USD",E730*$V$6)</f>
        <v>708.52799999999991</v>
      </c>
      <c r="M730" s="3" cm="1">
        <f t="array" ref="M730">_xlfn.IFS(G730="Paid", L730, G730="Partial", L730*0.5, G730="Open", 0)</f>
        <v>708.52799999999991</v>
      </c>
      <c r="N730" s="3" cm="1">
        <f t="array" ref="N730">_xlfn.IFS(G730="Open", L730, G730="Partial", L730*0.5, G730="Paid", 0)</f>
        <v>0</v>
      </c>
    </row>
    <row r="731" spans="1:14" x14ac:dyDescent="0.25">
      <c r="A731" t="s">
        <v>735</v>
      </c>
      <c r="B731" t="s">
        <v>808</v>
      </c>
      <c r="C731" s="5">
        <v>45239</v>
      </c>
      <c r="D731" s="5">
        <v>45269</v>
      </c>
      <c r="E731" s="3">
        <v>2790.33</v>
      </c>
      <c r="F731" t="s">
        <v>813</v>
      </c>
      <c r="G731" t="s">
        <v>817</v>
      </c>
      <c r="H731" s="5" t="s">
        <v>825</v>
      </c>
      <c r="I731" s="7">
        <f t="shared" si="11"/>
        <v>837</v>
      </c>
      <c r="J731" s="13" t="str" cm="1">
        <f t="array" ref="J731">_xlfn.IFS(I731=0, "Settled", I731&lt;=30, "1-30", I731&lt;=90, "31-90", I731&lt;=365, "91-365", I731&gt;365, "1 Year+")</f>
        <v>1 Year+</v>
      </c>
      <c r="K731" t="s">
        <v>819</v>
      </c>
      <c r="L731" s="3" cm="1">
        <f t="array" ref="L731">_xlfn.IFS(F731="AUD",E731*$V$2,F731="CAD",E731*$V$3,F731="EUR",E731*$V$4,F731="GBP",E731*$V$5,F731="USD",E731*$V$6)</f>
        <v>2092.7474999999999</v>
      </c>
      <c r="M731" s="3" cm="1">
        <f t="array" ref="M731">_xlfn.IFS(G731="Paid", L731, G731="Partial", L731*0.5, G731="Open", 0)</f>
        <v>1046.37375</v>
      </c>
      <c r="N731" s="3" cm="1">
        <f t="array" ref="N731">_xlfn.IFS(G731="Open", L731, G731="Partial", L731*0.5, G731="Paid", 0)</f>
        <v>1046.37375</v>
      </c>
    </row>
    <row r="732" spans="1:14" x14ac:dyDescent="0.25">
      <c r="A732" t="s">
        <v>736</v>
      </c>
      <c r="B732" t="s">
        <v>806</v>
      </c>
      <c r="C732" s="5">
        <v>45187</v>
      </c>
      <c r="D732" s="5">
        <v>45217</v>
      </c>
      <c r="E732" s="3">
        <v>1246.1199999999999</v>
      </c>
      <c r="F732" t="s">
        <v>812</v>
      </c>
      <c r="G732" t="s">
        <v>817</v>
      </c>
      <c r="H732" s="5" t="s">
        <v>825</v>
      </c>
      <c r="I732" s="7">
        <f t="shared" si="11"/>
        <v>889</v>
      </c>
      <c r="J732" s="13" t="str" cm="1">
        <f t="array" ref="J732">_xlfn.IFS(I732=0, "Settled", I732&lt;=30, "1-30", I732&lt;=90, "31-90", I732&lt;=365, "91-365", I732&gt;365, "1 Year+")</f>
        <v>1 Year+</v>
      </c>
      <c r="K732" t="s">
        <v>819</v>
      </c>
      <c r="L732" s="3" cm="1">
        <f t="array" ref="L732">_xlfn.IFS(F732="AUD",E732*$V$2,F732="CAD",E732*$V$3,F732="EUR",E732*$V$4,F732="GBP",E732*$V$5,F732="USD",E732*$V$6)</f>
        <v>1719.6455999999996</v>
      </c>
      <c r="M732" s="3" cm="1">
        <f t="array" ref="M732">_xlfn.IFS(G732="Paid", L732, G732="Partial", L732*0.5, G732="Open", 0)</f>
        <v>859.8227999999998</v>
      </c>
      <c r="N732" s="3" cm="1">
        <f t="array" ref="N732">_xlfn.IFS(G732="Open", L732, G732="Partial", L732*0.5, G732="Paid", 0)</f>
        <v>859.8227999999998</v>
      </c>
    </row>
    <row r="733" spans="1:14" x14ac:dyDescent="0.25">
      <c r="A733" t="s">
        <v>737</v>
      </c>
      <c r="B733" t="s">
        <v>807</v>
      </c>
      <c r="C733" s="5">
        <v>45471</v>
      </c>
      <c r="D733" s="5">
        <v>45501</v>
      </c>
      <c r="E733" s="3">
        <v>2390.31</v>
      </c>
      <c r="F733" t="s">
        <v>814</v>
      </c>
      <c r="G733" t="s">
        <v>816</v>
      </c>
      <c r="H733" s="5" t="s">
        <v>825</v>
      </c>
      <c r="I733" s="7">
        <f t="shared" si="11"/>
        <v>605</v>
      </c>
      <c r="J733" s="13" t="str" cm="1">
        <f t="array" ref="J733">_xlfn.IFS(I733=0, "Settled", I733&lt;=30, "1-30", I733&lt;=90, "31-90", I733&lt;=365, "91-365", I733&gt;365, "1 Year+")</f>
        <v>1 Year+</v>
      </c>
      <c r="K733" t="s">
        <v>819</v>
      </c>
      <c r="L733" s="3" cm="1">
        <f t="array" ref="L733">_xlfn.IFS(F733="AUD",E733*$V$2,F733="CAD",E733*$V$3,F733="EUR",E733*$V$4,F733="GBP",E733*$V$5,F733="USD",E733*$V$6)</f>
        <v>2390.31</v>
      </c>
      <c r="M733" s="3" cm="1">
        <f t="array" ref="M733">_xlfn.IFS(G733="Paid", L733, G733="Partial", L733*0.5, G733="Open", 0)</f>
        <v>0</v>
      </c>
      <c r="N733" s="3" cm="1">
        <f t="array" ref="N733">_xlfn.IFS(G733="Open", L733, G733="Partial", L733*0.5, G733="Paid", 0)</f>
        <v>2390.31</v>
      </c>
    </row>
    <row r="734" spans="1:14" x14ac:dyDescent="0.25">
      <c r="A734" t="s">
        <v>738</v>
      </c>
      <c r="B734" t="s">
        <v>808</v>
      </c>
      <c r="C734" s="5">
        <v>45303</v>
      </c>
      <c r="D734" s="5">
        <v>45333</v>
      </c>
      <c r="E734" s="3">
        <v>3697.86</v>
      </c>
      <c r="F734" t="s">
        <v>811</v>
      </c>
      <c r="G734" t="s">
        <v>817</v>
      </c>
      <c r="H734" s="5" t="s">
        <v>825</v>
      </c>
      <c r="I734" s="7">
        <f t="shared" si="11"/>
        <v>773</v>
      </c>
      <c r="J734" s="13" t="str" cm="1">
        <f t="array" ref="J734">_xlfn.IFS(I734=0, "Settled", I734&lt;=30, "1-30", I734&lt;=90, "31-90", I734&lt;=365, "91-365", I734&gt;365, "1 Year+")</f>
        <v>1 Year+</v>
      </c>
      <c r="K734" t="s">
        <v>819</v>
      </c>
      <c r="L734" s="3" cm="1">
        <f t="array" ref="L734">_xlfn.IFS(F734="AUD",E734*$V$2,F734="CAD",E734*$V$3,F734="EUR",E734*$V$4,F734="GBP",E734*$V$5,F734="USD",E734*$V$6)</f>
        <v>3180.1596</v>
      </c>
      <c r="M734" s="3" cm="1">
        <f t="array" ref="M734">_xlfn.IFS(G734="Paid", L734, G734="Partial", L734*0.5, G734="Open", 0)</f>
        <v>1590.0798</v>
      </c>
      <c r="N734" s="3" cm="1">
        <f t="array" ref="N734">_xlfn.IFS(G734="Open", L734, G734="Partial", L734*0.5, G734="Paid", 0)</f>
        <v>1590.0798</v>
      </c>
    </row>
    <row r="735" spans="1:14" x14ac:dyDescent="0.25">
      <c r="A735" t="s">
        <v>739</v>
      </c>
      <c r="B735" t="s">
        <v>806</v>
      </c>
      <c r="C735" s="5">
        <v>45804</v>
      </c>
      <c r="D735" s="5">
        <v>45834</v>
      </c>
      <c r="E735" s="3">
        <v>3404.52</v>
      </c>
      <c r="F735" t="s">
        <v>813</v>
      </c>
      <c r="G735" t="s">
        <v>816</v>
      </c>
      <c r="H735" s="5" t="s">
        <v>825</v>
      </c>
      <c r="I735" s="7">
        <f t="shared" si="11"/>
        <v>272</v>
      </c>
      <c r="J735" s="13" t="str" cm="1">
        <f t="array" ref="J735">_xlfn.IFS(I735=0, "Settled", I735&lt;=30, "1-30", I735&lt;=90, "31-90", I735&lt;=365, "91-365", I735&gt;365, "1 Year+")</f>
        <v>91-365</v>
      </c>
      <c r="K735" t="s">
        <v>819</v>
      </c>
      <c r="L735" s="3" cm="1">
        <f t="array" ref="L735">_xlfn.IFS(F735="AUD",E735*$V$2,F735="CAD",E735*$V$3,F735="EUR",E735*$V$4,F735="GBP",E735*$V$5,F735="USD",E735*$V$6)</f>
        <v>2553.39</v>
      </c>
      <c r="M735" s="3" cm="1">
        <f t="array" ref="M735">_xlfn.IFS(G735="Paid", L735, G735="Partial", L735*0.5, G735="Open", 0)</f>
        <v>0</v>
      </c>
      <c r="N735" s="3" cm="1">
        <f t="array" ref="N735">_xlfn.IFS(G735="Open", L735, G735="Partial", L735*0.5, G735="Paid", 0)</f>
        <v>2553.39</v>
      </c>
    </row>
    <row r="736" spans="1:14" x14ac:dyDescent="0.25">
      <c r="A736" t="s">
        <v>740</v>
      </c>
      <c r="B736" t="s">
        <v>808</v>
      </c>
      <c r="C736" s="5">
        <v>45709</v>
      </c>
      <c r="D736" s="5">
        <v>45739</v>
      </c>
      <c r="E736" s="3">
        <v>3730.17</v>
      </c>
      <c r="F736" t="s">
        <v>813</v>
      </c>
      <c r="G736" t="s">
        <v>816</v>
      </c>
      <c r="H736" s="5" t="s">
        <v>825</v>
      </c>
      <c r="I736" s="7">
        <f t="shared" si="11"/>
        <v>367</v>
      </c>
      <c r="J736" s="13" t="str" cm="1">
        <f t="array" ref="J736">_xlfn.IFS(I736=0, "Settled", I736&lt;=30, "1-30", I736&lt;=90, "31-90", I736&lt;=365, "91-365", I736&gt;365, "1 Year+")</f>
        <v>1 Year+</v>
      </c>
      <c r="K736" t="s">
        <v>819</v>
      </c>
      <c r="L736" s="3" cm="1">
        <f t="array" ref="L736">_xlfn.IFS(F736="AUD",E736*$V$2,F736="CAD",E736*$V$3,F736="EUR",E736*$V$4,F736="GBP",E736*$V$5,F736="USD",E736*$V$6)</f>
        <v>2797.6275000000001</v>
      </c>
      <c r="M736" s="3" cm="1">
        <f t="array" ref="M736">_xlfn.IFS(G736="Paid", L736, G736="Partial", L736*0.5, G736="Open", 0)</f>
        <v>0</v>
      </c>
      <c r="N736" s="3" cm="1">
        <f t="array" ref="N736">_xlfn.IFS(G736="Open", L736, G736="Partial", L736*0.5, G736="Paid", 0)</f>
        <v>2797.6275000000001</v>
      </c>
    </row>
    <row r="737" spans="1:14" x14ac:dyDescent="0.25">
      <c r="A737" t="s">
        <v>741</v>
      </c>
      <c r="B737" t="s">
        <v>810</v>
      </c>
      <c r="C737" s="5">
        <v>45772</v>
      </c>
      <c r="D737" s="5">
        <v>45802</v>
      </c>
      <c r="E737" s="3">
        <v>199.45</v>
      </c>
      <c r="F737" t="s">
        <v>815</v>
      </c>
      <c r="G737" t="s">
        <v>817</v>
      </c>
      <c r="H737" s="5" t="s">
        <v>825</v>
      </c>
      <c r="I737" s="7">
        <f t="shared" si="11"/>
        <v>304</v>
      </c>
      <c r="J737" s="13" t="str" cm="1">
        <f t="array" ref="J737">_xlfn.IFS(I737=0, "Settled", I737&lt;=30, "1-30", I737&lt;=90, "31-90", I737&lt;=365, "91-365", I737&gt;365, "1 Year+")</f>
        <v>91-365</v>
      </c>
      <c r="K737" t="s">
        <v>819</v>
      </c>
      <c r="L737" s="3" cm="1">
        <f t="array" ref="L737">_xlfn.IFS(F737="AUD",E737*$V$2,F737="CAD",E737*$V$3,F737="EUR",E737*$V$4,F737="GBP",E737*$V$5,F737="USD",E737*$V$6)</f>
        <v>289.20249999999999</v>
      </c>
      <c r="M737" s="3" cm="1">
        <f t="array" ref="M737">_xlfn.IFS(G737="Paid", L737, G737="Partial", L737*0.5, G737="Open", 0)</f>
        <v>144.60124999999999</v>
      </c>
      <c r="N737" s="3" cm="1">
        <f t="array" ref="N737">_xlfn.IFS(G737="Open", L737, G737="Partial", L737*0.5, G737="Paid", 0)</f>
        <v>144.60124999999999</v>
      </c>
    </row>
    <row r="738" spans="1:14" x14ac:dyDescent="0.25">
      <c r="A738" t="s">
        <v>742</v>
      </c>
      <c r="B738" t="s">
        <v>808</v>
      </c>
      <c r="C738" s="5">
        <v>45646</v>
      </c>
      <c r="D738" s="5">
        <v>45676</v>
      </c>
      <c r="E738" s="3">
        <v>4466.8</v>
      </c>
      <c r="F738" t="s">
        <v>815</v>
      </c>
      <c r="G738" t="s">
        <v>816</v>
      </c>
      <c r="H738" s="5" t="s">
        <v>825</v>
      </c>
      <c r="I738" s="7">
        <f t="shared" si="11"/>
        <v>430</v>
      </c>
      <c r="J738" s="13" t="str" cm="1">
        <f t="array" ref="J738">_xlfn.IFS(I738=0, "Settled", I738&lt;=30, "1-30", I738&lt;=90, "31-90", I738&lt;=365, "91-365", I738&gt;365, "1 Year+")</f>
        <v>1 Year+</v>
      </c>
      <c r="K738" t="s">
        <v>819</v>
      </c>
      <c r="L738" s="3" cm="1">
        <f t="array" ref="L738">_xlfn.IFS(F738="AUD",E738*$V$2,F738="CAD",E738*$V$3,F738="EUR",E738*$V$4,F738="GBP",E738*$V$5,F738="USD",E738*$V$6)</f>
        <v>6476.86</v>
      </c>
      <c r="M738" s="3" cm="1">
        <f t="array" ref="M738">_xlfn.IFS(G738="Paid", L738, G738="Partial", L738*0.5, G738="Open", 0)</f>
        <v>0</v>
      </c>
      <c r="N738" s="3" cm="1">
        <f t="array" ref="N738">_xlfn.IFS(G738="Open", L738, G738="Partial", L738*0.5, G738="Paid", 0)</f>
        <v>6476.86</v>
      </c>
    </row>
    <row r="739" spans="1:14" x14ac:dyDescent="0.25">
      <c r="A739" t="s">
        <v>743</v>
      </c>
      <c r="B739" t="s">
        <v>809</v>
      </c>
      <c r="C739" s="5">
        <v>45805</v>
      </c>
      <c r="D739" s="5">
        <v>45835</v>
      </c>
      <c r="E739" s="3">
        <v>4368.08</v>
      </c>
      <c r="F739" t="s">
        <v>813</v>
      </c>
      <c r="G739" t="s">
        <v>818</v>
      </c>
      <c r="H739" s="5">
        <v>45835</v>
      </c>
      <c r="I739" s="7">
        <f t="shared" si="11"/>
        <v>0</v>
      </c>
      <c r="J739" s="13" t="str" cm="1">
        <f t="array" ref="J739">_xlfn.IFS(I739=0, "Settled", I739&lt;=30, "1-30", I739&lt;=90, "31-90", I739&lt;=365, "91-365", I739&gt;365, "1 Year+")</f>
        <v>Settled</v>
      </c>
      <c r="K739" t="s">
        <v>819</v>
      </c>
      <c r="L739" s="3" cm="1">
        <f t="array" ref="L739">_xlfn.IFS(F739="AUD",E739*$V$2,F739="CAD",E739*$V$3,F739="EUR",E739*$V$4,F739="GBP",E739*$V$5,F739="USD",E739*$V$6)</f>
        <v>3276.06</v>
      </c>
      <c r="M739" s="3" cm="1">
        <f t="array" ref="M739">_xlfn.IFS(G739="Paid", L739, G739="Partial", L739*0.5, G739="Open", 0)</f>
        <v>3276.06</v>
      </c>
      <c r="N739" s="3" cm="1">
        <f t="array" ref="N739">_xlfn.IFS(G739="Open", L739, G739="Partial", L739*0.5, G739="Paid", 0)</f>
        <v>0</v>
      </c>
    </row>
    <row r="740" spans="1:14" x14ac:dyDescent="0.25">
      <c r="A740" t="s">
        <v>744</v>
      </c>
      <c r="B740" t="s">
        <v>806</v>
      </c>
      <c r="C740" s="5">
        <v>45269</v>
      </c>
      <c r="D740" s="5">
        <v>45299</v>
      </c>
      <c r="E740" s="3">
        <v>2910.39</v>
      </c>
      <c r="F740" t="s">
        <v>811</v>
      </c>
      <c r="G740" t="s">
        <v>818</v>
      </c>
      <c r="H740" s="5">
        <v>45299</v>
      </c>
      <c r="I740" s="7">
        <f t="shared" si="11"/>
        <v>0</v>
      </c>
      <c r="J740" s="13" t="str" cm="1">
        <f t="array" ref="J740">_xlfn.IFS(I740=0, "Settled", I740&lt;=30, "1-30", I740&lt;=90, "31-90", I740&lt;=365, "91-365", I740&gt;365, "1 Year+")</f>
        <v>Settled</v>
      </c>
      <c r="K740" t="s">
        <v>819</v>
      </c>
      <c r="L740" s="3" cm="1">
        <f t="array" ref="L740">_xlfn.IFS(F740="AUD",E740*$V$2,F740="CAD",E740*$V$3,F740="EUR",E740*$V$4,F740="GBP",E740*$V$5,F740="USD",E740*$V$6)</f>
        <v>2502.9353999999998</v>
      </c>
      <c r="M740" s="3" cm="1">
        <f t="array" ref="M740">_xlfn.IFS(G740="Paid", L740, G740="Partial", L740*0.5, G740="Open", 0)</f>
        <v>2502.9353999999998</v>
      </c>
      <c r="N740" s="3" cm="1">
        <f t="array" ref="N740">_xlfn.IFS(G740="Open", L740, G740="Partial", L740*0.5, G740="Paid", 0)</f>
        <v>0</v>
      </c>
    </row>
    <row r="741" spans="1:14" x14ac:dyDescent="0.25">
      <c r="A741" t="s">
        <v>745</v>
      </c>
      <c r="B741" t="s">
        <v>807</v>
      </c>
      <c r="C741" s="5">
        <v>45007</v>
      </c>
      <c r="D741" s="5">
        <v>45037</v>
      </c>
      <c r="E741" s="3">
        <v>3087.9</v>
      </c>
      <c r="F741" t="s">
        <v>812</v>
      </c>
      <c r="G741" t="s">
        <v>818</v>
      </c>
      <c r="H741" s="5">
        <v>45037</v>
      </c>
      <c r="I741" s="7">
        <f t="shared" si="11"/>
        <v>0</v>
      </c>
      <c r="J741" s="13" t="str" cm="1">
        <f t="array" ref="J741">_xlfn.IFS(I741=0, "Settled", I741&lt;=30, "1-30", I741&lt;=90, "31-90", I741&lt;=365, "91-365", I741&gt;365, "1 Year+")</f>
        <v>Settled</v>
      </c>
      <c r="K741" t="s">
        <v>819</v>
      </c>
      <c r="L741" s="3" cm="1">
        <f t="array" ref="L741">_xlfn.IFS(F741="AUD",E741*$V$2,F741="CAD",E741*$V$3,F741="EUR",E741*$V$4,F741="GBP",E741*$V$5,F741="USD",E741*$V$6)</f>
        <v>4261.3019999999997</v>
      </c>
      <c r="M741" s="3" cm="1">
        <f t="array" ref="M741">_xlfn.IFS(G741="Paid", L741, G741="Partial", L741*0.5, G741="Open", 0)</f>
        <v>4261.3019999999997</v>
      </c>
      <c r="N741" s="3" cm="1">
        <f t="array" ref="N741">_xlfn.IFS(G741="Open", L741, G741="Partial", L741*0.5, G741="Paid", 0)</f>
        <v>0</v>
      </c>
    </row>
    <row r="742" spans="1:14" x14ac:dyDescent="0.25">
      <c r="A742" t="s">
        <v>746</v>
      </c>
      <c r="B742" t="s">
        <v>808</v>
      </c>
      <c r="C742" s="5">
        <v>45183</v>
      </c>
      <c r="D742" s="5">
        <v>45213</v>
      </c>
      <c r="E742" s="3">
        <v>3956.78</v>
      </c>
      <c r="F742" t="s">
        <v>812</v>
      </c>
      <c r="G742" t="s">
        <v>818</v>
      </c>
      <c r="H742" s="5">
        <v>45213</v>
      </c>
      <c r="I742" s="7">
        <f t="shared" si="11"/>
        <v>0</v>
      </c>
      <c r="J742" s="13" t="str" cm="1">
        <f t="array" ref="J742">_xlfn.IFS(I742=0, "Settled", I742&lt;=30, "1-30", I742&lt;=90, "31-90", I742&lt;=365, "91-365", I742&gt;365, "1 Year+")</f>
        <v>Settled</v>
      </c>
      <c r="K742" t="s">
        <v>819</v>
      </c>
      <c r="L742" s="3" cm="1">
        <f t="array" ref="L742">_xlfn.IFS(F742="AUD",E742*$V$2,F742="CAD",E742*$V$3,F742="EUR",E742*$V$4,F742="GBP",E742*$V$5,F742="USD",E742*$V$6)</f>
        <v>5460.3563999999997</v>
      </c>
      <c r="M742" s="3" cm="1">
        <f t="array" ref="M742">_xlfn.IFS(G742="Paid", L742, G742="Partial", L742*0.5, G742="Open", 0)</f>
        <v>5460.3563999999997</v>
      </c>
      <c r="N742" s="3" cm="1">
        <f t="array" ref="N742">_xlfn.IFS(G742="Open", L742, G742="Partial", L742*0.5, G742="Paid", 0)</f>
        <v>0</v>
      </c>
    </row>
    <row r="743" spans="1:14" x14ac:dyDescent="0.25">
      <c r="A743" t="s">
        <v>747</v>
      </c>
      <c r="B743" t="s">
        <v>807</v>
      </c>
      <c r="C743" s="5">
        <v>45222</v>
      </c>
      <c r="D743" s="5">
        <v>45252</v>
      </c>
      <c r="E743" s="3">
        <v>1173.72</v>
      </c>
      <c r="F743" t="s">
        <v>812</v>
      </c>
      <c r="G743" t="s">
        <v>818</v>
      </c>
      <c r="H743" s="5">
        <v>45252</v>
      </c>
      <c r="I743" s="7">
        <f t="shared" si="11"/>
        <v>0</v>
      </c>
      <c r="J743" s="13" t="str" cm="1">
        <f t="array" ref="J743">_xlfn.IFS(I743=0, "Settled", I743&lt;=30, "1-30", I743&lt;=90, "31-90", I743&lt;=365, "91-365", I743&gt;365, "1 Year+")</f>
        <v>Settled</v>
      </c>
      <c r="K743" t="s">
        <v>819</v>
      </c>
      <c r="L743" s="3" cm="1">
        <f t="array" ref="L743">_xlfn.IFS(F743="AUD",E743*$V$2,F743="CAD",E743*$V$3,F743="EUR",E743*$V$4,F743="GBP",E743*$V$5,F743="USD",E743*$V$6)</f>
        <v>1619.7336</v>
      </c>
      <c r="M743" s="3" cm="1">
        <f t="array" ref="M743">_xlfn.IFS(G743="Paid", L743, G743="Partial", L743*0.5, G743="Open", 0)</f>
        <v>1619.7336</v>
      </c>
      <c r="N743" s="3" cm="1">
        <f t="array" ref="N743">_xlfn.IFS(G743="Open", L743, G743="Partial", L743*0.5, G743="Paid", 0)</f>
        <v>0</v>
      </c>
    </row>
    <row r="744" spans="1:14" x14ac:dyDescent="0.25">
      <c r="A744" t="s">
        <v>748</v>
      </c>
      <c r="B744" t="s">
        <v>807</v>
      </c>
      <c r="C744" s="5">
        <v>45359</v>
      </c>
      <c r="D744" s="5">
        <v>45389</v>
      </c>
      <c r="E744" s="3">
        <v>3885.28</v>
      </c>
      <c r="F744" t="s">
        <v>813</v>
      </c>
      <c r="G744" t="s">
        <v>818</v>
      </c>
      <c r="H744" s="5">
        <v>45389</v>
      </c>
      <c r="I744" s="7">
        <f t="shared" si="11"/>
        <v>0</v>
      </c>
      <c r="J744" s="13" t="str" cm="1">
        <f t="array" ref="J744">_xlfn.IFS(I744=0, "Settled", I744&lt;=30, "1-30", I744&lt;=90, "31-90", I744&lt;=365, "91-365", I744&gt;365, "1 Year+")</f>
        <v>Settled</v>
      </c>
      <c r="K744" t="s">
        <v>819</v>
      </c>
      <c r="L744" s="3" cm="1">
        <f t="array" ref="L744">_xlfn.IFS(F744="AUD",E744*$V$2,F744="CAD",E744*$V$3,F744="EUR",E744*$V$4,F744="GBP",E744*$V$5,F744="USD",E744*$V$6)</f>
        <v>2913.96</v>
      </c>
      <c r="M744" s="3" cm="1">
        <f t="array" ref="M744">_xlfn.IFS(G744="Paid", L744, G744="Partial", L744*0.5, G744="Open", 0)</f>
        <v>2913.96</v>
      </c>
      <c r="N744" s="3" cm="1">
        <f t="array" ref="N744">_xlfn.IFS(G744="Open", L744, G744="Partial", L744*0.5, G744="Paid", 0)</f>
        <v>0</v>
      </c>
    </row>
    <row r="745" spans="1:14" x14ac:dyDescent="0.25">
      <c r="A745" t="s">
        <v>749</v>
      </c>
      <c r="B745" t="s">
        <v>809</v>
      </c>
      <c r="C745" s="5">
        <v>45268</v>
      </c>
      <c r="D745" s="5">
        <v>45298</v>
      </c>
      <c r="E745" s="3">
        <v>211.34</v>
      </c>
      <c r="F745" t="s">
        <v>814</v>
      </c>
      <c r="G745" t="s">
        <v>816</v>
      </c>
      <c r="H745" s="5" t="s">
        <v>825</v>
      </c>
      <c r="I745" s="7">
        <f t="shared" si="11"/>
        <v>808</v>
      </c>
      <c r="J745" s="13" t="str" cm="1">
        <f t="array" ref="J745">_xlfn.IFS(I745=0, "Settled", I745&lt;=30, "1-30", I745&lt;=90, "31-90", I745&lt;=365, "91-365", I745&gt;365, "1 Year+")</f>
        <v>1 Year+</v>
      </c>
      <c r="K745" t="s">
        <v>819</v>
      </c>
      <c r="L745" s="3" cm="1">
        <f t="array" ref="L745">_xlfn.IFS(F745="AUD",E745*$V$2,F745="CAD",E745*$V$3,F745="EUR",E745*$V$4,F745="GBP",E745*$V$5,F745="USD",E745*$V$6)</f>
        <v>211.34</v>
      </c>
      <c r="M745" s="3" cm="1">
        <f t="array" ref="M745">_xlfn.IFS(G745="Paid", L745, G745="Partial", L745*0.5, G745="Open", 0)</f>
        <v>0</v>
      </c>
      <c r="N745" s="3" cm="1">
        <f t="array" ref="N745">_xlfn.IFS(G745="Open", L745, G745="Partial", L745*0.5, G745="Paid", 0)</f>
        <v>211.34</v>
      </c>
    </row>
    <row r="746" spans="1:14" x14ac:dyDescent="0.25">
      <c r="A746" t="s">
        <v>750</v>
      </c>
      <c r="B746" t="s">
        <v>810</v>
      </c>
      <c r="C746" s="5">
        <v>44983</v>
      </c>
      <c r="D746" s="5">
        <v>45013</v>
      </c>
      <c r="E746" s="3">
        <v>1345.89</v>
      </c>
      <c r="F746" t="s">
        <v>815</v>
      </c>
      <c r="G746" t="s">
        <v>818</v>
      </c>
      <c r="H746" s="5">
        <v>45013</v>
      </c>
      <c r="I746" s="7">
        <f t="shared" si="11"/>
        <v>0</v>
      </c>
      <c r="J746" s="13" t="str" cm="1">
        <f t="array" ref="J746">_xlfn.IFS(I746=0, "Settled", I746&lt;=30, "1-30", I746&lt;=90, "31-90", I746&lt;=365, "91-365", I746&gt;365, "1 Year+")</f>
        <v>Settled</v>
      </c>
      <c r="K746" t="s">
        <v>819</v>
      </c>
      <c r="L746" s="3" cm="1">
        <f t="array" ref="L746">_xlfn.IFS(F746="AUD",E746*$V$2,F746="CAD",E746*$V$3,F746="EUR",E746*$V$4,F746="GBP",E746*$V$5,F746="USD",E746*$V$6)</f>
        <v>1951.5405000000001</v>
      </c>
      <c r="M746" s="3" cm="1">
        <f t="array" ref="M746">_xlfn.IFS(G746="Paid", L746, G746="Partial", L746*0.5, G746="Open", 0)</f>
        <v>1951.5405000000001</v>
      </c>
      <c r="N746" s="3" cm="1">
        <f t="array" ref="N746">_xlfn.IFS(G746="Open", L746, G746="Partial", L746*0.5, G746="Paid", 0)</f>
        <v>0</v>
      </c>
    </row>
    <row r="747" spans="1:14" x14ac:dyDescent="0.25">
      <c r="A747" t="s">
        <v>751</v>
      </c>
      <c r="B747" t="s">
        <v>808</v>
      </c>
      <c r="C747" s="5">
        <v>45283</v>
      </c>
      <c r="D747" s="5">
        <v>45313</v>
      </c>
      <c r="E747" s="3">
        <v>4777.7299999999996</v>
      </c>
      <c r="F747" t="s">
        <v>811</v>
      </c>
      <c r="G747" t="s">
        <v>817</v>
      </c>
      <c r="H747" s="5" t="s">
        <v>825</v>
      </c>
      <c r="I747" s="7">
        <f t="shared" si="11"/>
        <v>793</v>
      </c>
      <c r="J747" s="13" t="str" cm="1">
        <f t="array" ref="J747">_xlfn.IFS(I747=0, "Settled", I747&lt;=30, "1-30", I747&lt;=90, "31-90", I747&lt;=365, "91-365", I747&gt;365, "1 Year+")</f>
        <v>1 Year+</v>
      </c>
      <c r="K747" t="s">
        <v>819</v>
      </c>
      <c r="L747" s="3" cm="1">
        <f t="array" ref="L747">_xlfn.IFS(F747="AUD",E747*$V$2,F747="CAD",E747*$V$3,F747="EUR",E747*$V$4,F747="GBP",E747*$V$5,F747="USD",E747*$V$6)</f>
        <v>4108.8477999999996</v>
      </c>
      <c r="M747" s="3" cm="1">
        <f t="array" ref="M747">_xlfn.IFS(G747="Paid", L747, G747="Partial", L747*0.5, G747="Open", 0)</f>
        <v>2054.4238999999998</v>
      </c>
      <c r="N747" s="3" cm="1">
        <f t="array" ref="N747">_xlfn.IFS(G747="Open", L747, G747="Partial", L747*0.5, G747="Paid", 0)</f>
        <v>2054.4238999999998</v>
      </c>
    </row>
    <row r="748" spans="1:14" x14ac:dyDescent="0.25">
      <c r="A748" t="s">
        <v>752</v>
      </c>
      <c r="B748" t="s">
        <v>806</v>
      </c>
      <c r="C748" s="5">
        <v>45194</v>
      </c>
      <c r="D748" s="5">
        <v>45224</v>
      </c>
      <c r="E748" s="3">
        <v>3137.33</v>
      </c>
      <c r="F748" t="s">
        <v>815</v>
      </c>
      <c r="G748" t="s">
        <v>816</v>
      </c>
      <c r="H748" s="5" t="s">
        <v>825</v>
      </c>
      <c r="I748" s="7">
        <f t="shared" si="11"/>
        <v>882</v>
      </c>
      <c r="J748" s="13" t="str" cm="1">
        <f t="array" ref="J748">_xlfn.IFS(I748=0, "Settled", I748&lt;=30, "1-30", I748&lt;=90, "31-90", I748&lt;=365, "91-365", I748&gt;365, "1 Year+")</f>
        <v>1 Year+</v>
      </c>
      <c r="K748" t="s">
        <v>819</v>
      </c>
      <c r="L748" s="3" cm="1">
        <f t="array" ref="L748">_xlfn.IFS(F748="AUD",E748*$V$2,F748="CAD",E748*$V$3,F748="EUR",E748*$V$4,F748="GBP",E748*$V$5,F748="USD",E748*$V$6)</f>
        <v>4549.1284999999998</v>
      </c>
      <c r="M748" s="3" cm="1">
        <f t="array" ref="M748">_xlfn.IFS(G748="Paid", L748, G748="Partial", L748*0.5, G748="Open", 0)</f>
        <v>0</v>
      </c>
      <c r="N748" s="3" cm="1">
        <f t="array" ref="N748">_xlfn.IFS(G748="Open", L748, G748="Partial", L748*0.5, G748="Paid", 0)</f>
        <v>4549.1284999999998</v>
      </c>
    </row>
    <row r="749" spans="1:14" x14ac:dyDescent="0.25">
      <c r="A749" t="s">
        <v>753</v>
      </c>
      <c r="B749" t="s">
        <v>809</v>
      </c>
      <c r="C749" s="5">
        <v>45488</v>
      </c>
      <c r="D749" s="5">
        <v>45518</v>
      </c>
      <c r="E749" s="3">
        <v>4831.5200000000004</v>
      </c>
      <c r="F749" t="s">
        <v>811</v>
      </c>
      <c r="G749" t="s">
        <v>817</v>
      </c>
      <c r="H749" s="5" t="s">
        <v>825</v>
      </c>
      <c r="I749" s="7">
        <f t="shared" si="11"/>
        <v>588</v>
      </c>
      <c r="J749" s="13" t="str" cm="1">
        <f t="array" ref="J749">_xlfn.IFS(I749=0, "Settled", I749&lt;=30, "1-30", I749&lt;=90, "31-90", I749&lt;=365, "91-365", I749&gt;365, "1 Year+")</f>
        <v>1 Year+</v>
      </c>
      <c r="K749" t="s">
        <v>819</v>
      </c>
      <c r="L749" s="3" cm="1">
        <f t="array" ref="L749">_xlfn.IFS(F749="AUD",E749*$V$2,F749="CAD",E749*$V$3,F749="EUR",E749*$V$4,F749="GBP",E749*$V$5,F749="USD",E749*$V$6)</f>
        <v>4155.1072000000004</v>
      </c>
      <c r="M749" s="3" cm="1">
        <f t="array" ref="M749">_xlfn.IFS(G749="Paid", L749, G749="Partial", L749*0.5, G749="Open", 0)</f>
        <v>2077.5536000000002</v>
      </c>
      <c r="N749" s="3" cm="1">
        <f t="array" ref="N749">_xlfn.IFS(G749="Open", L749, G749="Partial", L749*0.5, G749="Paid", 0)</f>
        <v>2077.5536000000002</v>
      </c>
    </row>
    <row r="750" spans="1:14" x14ac:dyDescent="0.25">
      <c r="A750" t="s">
        <v>754</v>
      </c>
      <c r="B750" t="s">
        <v>806</v>
      </c>
      <c r="C750" s="5">
        <v>45321</v>
      </c>
      <c r="D750" s="5">
        <v>45351</v>
      </c>
      <c r="E750" s="3">
        <v>1343.46</v>
      </c>
      <c r="F750" t="s">
        <v>812</v>
      </c>
      <c r="G750" t="s">
        <v>817</v>
      </c>
      <c r="H750" s="5" t="s">
        <v>825</v>
      </c>
      <c r="I750" s="7">
        <f t="shared" si="11"/>
        <v>755</v>
      </c>
      <c r="J750" s="13" t="str" cm="1">
        <f t="array" ref="J750">_xlfn.IFS(I750=0, "Settled", I750&lt;=30, "1-30", I750&lt;=90, "31-90", I750&lt;=365, "91-365", I750&gt;365, "1 Year+")</f>
        <v>1 Year+</v>
      </c>
      <c r="K750" t="s">
        <v>819</v>
      </c>
      <c r="L750" s="3" cm="1">
        <f t="array" ref="L750">_xlfn.IFS(F750="AUD",E750*$V$2,F750="CAD",E750*$V$3,F750="EUR",E750*$V$4,F750="GBP",E750*$V$5,F750="USD",E750*$V$6)</f>
        <v>1853.9748</v>
      </c>
      <c r="M750" s="3" cm="1">
        <f t="array" ref="M750">_xlfn.IFS(G750="Paid", L750, G750="Partial", L750*0.5, G750="Open", 0)</f>
        <v>926.98739999999998</v>
      </c>
      <c r="N750" s="3" cm="1">
        <f t="array" ref="N750">_xlfn.IFS(G750="Open", L750, G750="Partial", L750*0.5, G750="Paid", 0)</f>
        <v>926.98739999999998</v>
      </c>
    </row>
    <row r="751" spans="1:14" x14ac:dyDescent="0.25">
      <c r="A751" t="s">
        <v>755</v>
      </c>
      <c r="B751" t="s">
        <v>806</v>
      </c>
      <c r="C751" s="5">
        <v>44993</v>
      </c>
      <c r="D751" s="5">
        <v>45023</v>
      </c>
      <c r="E751" s="3">
        <v>3815.88</v>
      </c>
      <c r="F751" t="s">
        <v>812</v>
      </c>
      <c r="G751" t="s">
        <v>817</v>
      </c>
      <c r="H751" s="5" t="s">
        <v>825</v>
      </c>
      <c r="I751" s="7">
        <f t="shared" si="11"/>
        <v>1083</v>
      </c>
      <c r="J751" s="13" t="str" cm="1">
        <f t="array" ref="J751">_xlfn.IFS(I751=0, "Settled", I751&lt;=30, "1-30", I751&lt;=90, "31-90", I751&lt;=365, "91-365", I751&gt;365, "1 Year+")</f>
        <v>1 Year+</v>
      </c>
      <c r="K751" t="s">
        <v>819</v>
      </c>
      <c r="L751" s="3" cm="1">
        <f t="array" ref="L751">_xlfn.IFS(F751="AUD",E751*$V$2,F751="CAD",E751*$V$3,F751="EUR",E751*$V$4,F751="GBP",E751*$V$5,F751="USD",E751*$V$6)</f>
        <v>5265.9143999999997</v>
      </c>
      <c r="M751" s="3" cm="1">
        <f t="array" ref="M751">_xlfn.IFS(G751="Paid", L751, G751="Partial", L751*0.5, G751="Open", 0)</f>
        <v>2632.9571999999998</v>
      </c>
      <c r="N751" s="3" cm="1">
        <f t="array" ref="N751">_xlfn.IFS(G751="Open", L751, G751="Partial", L751*0.5, G751="Paid", 0)</f>
        <v>2632.9571999999998</v>
      </c>
    </row>
    <row r="752" spans="1:14" x14ac:dyDescent="0.25">
      <c r="A752" t="s">
        <v>756</v>
      </c>
      <c r="B752" t="s">
        <v>808</v>
      </c>
      <c r="C752" s="5">
        <v>45054</v>
      </c>
      <c r="D752" s="5">
        <v>45084</v>
      </c>
      <c r="E752" s="3">
        <v>3428.98</v>
      </c>
      <c r="F752" t="s">
        <v>813</v>
      </c>
      <c r="G752" t="s">
        <v>818</v>
      </c>
      <c r="H752" s="5">
        <v>45084</v>
      </c>
      <c r="I752" s="7">
        <f t="shared" si="11"/>
        <v>0</v>
      </c>
      <c r="J752" s="13" t="str" cm="1">
        <f t="array" ref="J752">_xlfn.IFS(I752=0, "Settled", I752&lt;=30, "1-30", I752&lt;=90, "31-90", I752&lt;=365, "91-365", I752&gt;365, "1 Year+")</f>
        <v>Settled</v>
      </c>
      <c r="K752" t="s">
        <v>819</v>
      </c>
      <c r="L752" s="3" cm="1">
        <f t="array" ref="L752">_xlfn.IFS(F752="AUD",E752*$V$2,F752="CAD",E752*$V$3,F752="EUR",E752*$V$4,F752="GBP",E752*$V$5,F752="USD",E752*$V$6)</f>
        <v>2571.7350000000001</v>
      </c>
      <c r="M752" s="3" cm="1">
        <f t="array" ref="M752">_xlfn.IFS(G752="Paid", L752, G752="Partial", L752*0.5, G752="Open", 0)</f>
        <v>2571.7350000000001</v>
      </c>
      <c r="N752" s="3" cm="1">
        <f t="array" ref="N752">_xlfn.IFS(G752="Open", L752, G752="Partial", L752*0.5, G752="Paid", 0)</f>
        <v>0</v>
      </c>
    </row>
    <row r="753" spans="1:14" x14ac:dyDescent="0.25">
      <c r="A753" t="s">
        <v>757</v>
      </c>
      <c r="B753" t="s">
        <v>806</v>
      </c>
      <c r="C753" s="5">
        <v>45395</v>
      </c>
      <c r="D753" s="5">
        <v>45425</v>
      </c>
      <c r="E753" s="3">
        <v>1265.55</v>
      </c>
      <c r="F753" t="s">
        <v>813</v>
      </c>
      <c r="G753" t="s">
        <v>817</v>
      </c>
      <c r="H753" s="5" t="s">
        <v>825</v>
      </c>
      <c r="I753" s="7">
        <f t="shared" si="11"/>
        <v>681</v>
      </c>
      <c r="J753" s="13" t="str" cm="1">
        <f t="array" ref="J753">_xlfn.IFS(I753=0, "Settled", I753&lt;=30, "1-30", I753&lt;=90, "31-90", I753&lt;=365, "91-365", I753&gt;365, "1 Year+")</f>
        <v>1 Year+</v>
      </c>
      <c r="K753" t="s">
        <v>819</v>
      </c>
      <c r="L753" s="3" cm="1">
        <f t="array" ref="L753">_xlfn.IFS(F753="AUD",E753*$V$2,F753="CAD",E753*$V$3,F753="EUR",E753*$V$4,F753="GBP",E753*$V$5,F753="USD",E753*$V$6)</f>
        <v>949.16249999999991</v>
      </c>
      <c r="M753" s="3" cm="1">
        <f t="array" ref="M753">_xlfn.IFS(G753="Paid", L753, G753="Partial", L753*0.5, G753="Open", 0)</f>
        <v>474.58124999999995</v>
      </c>
      <c r="N753" s="3" cm="1">
        <f t="array" ref="N753">_xlfn.IFS(G753="Open", L753, G753="Partial", L753*0.5, G753="Paid", 0)</f>
        <v>474.58124999999995</v>
      </c>
    </row>
    <row r="754" spans="1:14" x14ac:dyDescent="0.25">
      <c r="A754" t="s">
        <v>758</v>
      </c>
      <c r="B754" t="s">
        <v>809</v>
      </c>
      <c r="C754" s="5">
        <v>45262</v>
      </c>
      <c r="D754" s="5">
        <v>45292</v>
      </c>
      <c r="E754" s="3">
        <v>1377.49</v>
      </c>
      <c r="F754" t="s">
        <v>815</v>
      </c>
      <c r="G754" t="s">
        <v>818</v>
      </c>
      <c r="H754" s="5">
        <v>45292</v>
      </c>
      <c r="I754" s="7">
        <f t="shared" si="11"/>
        <v>0</v>
      </c>
      <c r="J754" s="13" t="str" cm="1">
        <f t="array" ref="J754">_xlfn.IFS(I754=0, "Settled", I754&lt;=30, "1-30", I754&lt;=90, "31-90", I754&lt;=365, "91-365", I754&gt;365, "1 Year+")</f>
        <v>Settled</v>
      </c>
      <c r="K754" t="s">
        <v>819</v>
      </c>
      <c r="L754" s="3" cm="1">
        <f t="array" ref="L754">_xlfn.IFS(F754="AUD",E754*$V$2,F754="CAD",E754*$V$3,F754="EUR",E754*$V$4,F754="GBP",E754*$V$5,F754="USD",E754*$V$6)</f>
        <v>1997.3605</v>
      </c>
      <c r="M754" s="3" cm="1">
        <f t="array" ref="M754">_xlfn.IFS(G754="Paid", L754, G754="Partial", L754*0.5, G754="Open", 0)</f>
        <v>1997.3605</v>
      </c>
      <c r="N754" s="3" cm="1">
        <f t="array" ref="N754">_xlfn.IFS(G754="Open", L754, G754="Partial", L754*0.5, G754="Paid", 0)</f>
        <v>0</v>
      </c>
    </row>
    <row r="755" spans="1:14" x14ac:dyDescent="0.25">
      <c r="A755" t="s">
        <v>759</v>
      </c>
      <c r="B755" t="s">
        <v>806</v>
      </c>
      <c r="C755" s="5">
        <v>45535</v>
      </c>
      <c r="D755" s="5">
        <v>45565</v>
      </c>
      <c r="E755" s="3">
        <v>2125.3000000000002</v>
      </c>
      <c r="F755" t="s">
        <v>811</v>
      </c>
      <c r="G755" t="s">
        <v>817</v>
      </c>
      <c r="H755" s="5" t="s">
        <v>825</v>
      </c>
      <c r="I755" s="7">
        <f t="shared" si="11"/>
        <v>541</v>
      </c>
      <c r="J755" s="13" t="str" cm="1">
        <f t="array" ref="J755">_xlfn.IFS(I755=0, "Settled", I755&lt;=30, "1-30", I755&lt;=90, "31-90", I755&lt;=365, "91-365", I755&gt;365, "1 Year+")</f>
        <v>1 Year+</v>
      </c>
      <c r="K755" t="s">
        <v>819</v>
      </c>
      <c r="L755" s="3" cm="1">
        <f t="array" ref="L755">_xlfn.IFS(F755="AUD",E755*$V$2,F755="CAD",E755*$V$3,F755="EUR",E755*$V$4,F755="GBP",E755*$V$5,F755="USD",E755*$V$6)</f>
        <v>1827.758</v>
      </c>
      <c r="M755" s="3" cm="1">
        <f t="array" ref="M755">_xlfn.IFS(G755="Paid", L755, G755="Partial", L755*0.5, G755="Open", 0)</f>
        <v>913.87900000000002</v>
      </c>
      <c r="N755" s="3" cm="1">
        <f t="array" ref="N755">_xlfn.IFS(G755="Open", L755, G755="Partial", L755*0.5, G755="Paid", 0)</f>
        <v>913.87900000000002</v>
      </c>
    </row>
    <row r="756" spans="1:14" x14ac:dyDescent="0.25">
      <c r="A756" t="s">
        <v>760</v>
      </c>
      <c r="B756" t="s">
        <v>807</v>
      </c>
      <c r="C756" s="5">
        <v>45408</v>
      </c>
      <c r="D756" s="5">
        <v>45438</v>
      </c>
      <c r="E756" s="3">
        <v>2582.08</v>
      </c>
      <c r="F756" t="s">
        <v>813</v>
      </c>
      <c r="G756" t="s">
        <v>818</v>
      </c>
      <c r="H756" s="5">
        <v>45438</v>
      </c>
      <c r="I756" s="7">
        <f t="shared" si="11"/>
        <v>0</v>
      </c>
      <c r="J756" s="13" t="str" cm="1">
        <f t="array" ref="J756">_xlfn.IFS(I756=0, "Settled", I756&lt;=30, "1-30", I756&lt;=90, "31-90", I756&lt;=365, "91-365", I756&gt;365, "1 Year+")</f>
        <v>Settled</v>
      </c>
      <c r="K756" t="s">
        <v>819</v>
      </c>
      <c r="L756" s="3" cm="1">
        <f t="array" ref="L756">_xlfn.IFS(F756="AUD",E756*$V$2,F756="CAD",E756*$V$3,F756="EUR",E756*$V$4,F756="GBP",E756*$V$5,F756="USD",E756*$V$6)</f>
        <v>1936.56</v>
      </c>
      <c r="M756" s="3" cm="1">
        <f t="array" ref="M756">_xlfn.IFS(G756="Paid", L756, G756="Partial", L756*0.5, G756="Open", 0)</f>
        <v>1936.56</v>
      </c>
      <c r="N756" s="3" cm="1">
        <f t="array" ref="N756">_xlfn.IFS(G756="Open", L756, G756="Partial", L756*0.5, G756="Paid", 0)</f>
        <v>0</v>
      </c>
    </row>
    <row r="757" spans="1:14" x14ac:dyDescent="0.25">
      <c r="A757" t="s">
        <v>761</v>
      </c>
      <c r="B757" t="s">
        <v>810</v>
      </c>
      <c r="C757" s="5">
        <v>45707</v>
      </c>
      <c r="D757" s="5">
        <v>45737</v>
      </c>
      <c r="E757" s="3">
        <v>1722.33</v>
      </c>
      <c r="F757" t="s">
        <v>813</v>
      </c>
      <c r="G757" t="s">
        <v>818</v>
      </c>
      <c r="H757" s="5">
        <v>45737</v>
      </c>
      <c r="I757" s="7">
        <f t="shared" si="11"/>
        <v>0</v>
      </c>
      <c r="J757" s="13" t="str" cm="1">
        <f t="array" ref="J757">_xlfn.IFS(I757=0, "Settled", I757&lt;=30, "1-30", I757&lt;=90, "31-90", I757&lt;=365, "91-365", I757&gt;365, "1 Year+")</f>
        <v>Settled</v>
      </c>
      <c r="K757" t="s">
        <v>819</v>
      </c>
      <c r="L757" s="3" cm="1">
        <f t="array" ref="L757">_xlfn.IFS(F757="AUD",E757*$V$2,F757="CAD",E757*$V$3,F757="EUR",E757*$V$4,F757="GBP",E757*$V$5,F757="USD",E757*$V$6)</f>
        <v>1291.7474999999999</v>
      </c>
      <c r="M757" s="3" cm="1">
        <f t="array" ref="M757">_xlfn.IFS(G757="Paid", L757, G757="Partial", L757*0.5, G757="Open", 0)</f>
        <v>1291.7474999999999</v>
      </c>
      <c r="N757" s="3" cm="1">
        <f t="array" ref="N757">_xlfn.IFS(G757="Open", L757, G757="Partial", L757*0.5, G757="Paid", 0)</f>
        <v>0</v>
      </c>
    </row>
    <row r="758" spans="1:14" x14ac:dyDescent="0.25">
      <c r="A758" t="s">
        <v>762</v>
      </c>
      <c r="B758" t="s">
        <v>810</v>
      </c>
      <c r="C758" s="5">
        <v>45613</v>
      </c>
      <c r="D758" s="5">
        <v>45643</v>
      </c>
      <c r="E758" s="3">
        <v>4374.09</v>
      </c>
      <c r="F758" t="s">
        <v>811</v>
      </c>
      <c r="G758" t="s">
        <v>817</v>
      </c>
      <c r="H758" s="5" t="s">
        <v>825</v>
      </c>
      <c r="I758" s="7">
        <f t="shared" si="11"/>
        <v>463</v>
      </c>
      <c r="J758" s="13" t="str" cm="1">
        <f t="array" ref="J758">_xlfn.IFS(I758=0, "Settled", I758&lt;=30, "1-30", I758&lt;=90, "31-90", I758&lt;=365, "91-365", I758&gt;365, "1 Year+")</f>
        <v>1 Year+</v>
      </c>
      <c r="K758" t="s">
        <v>819</v>
      </c>
      <c r="L758" s="3" cm="1">
        <f t="array" ref="L758">_xlfn.IFS(F758="AUD",E758*$V$2,F758="CAD",E758*$V$3,F758="EUR",E758*$V$4,F758="GBP",E758*$V$5,F758="USD",E758*$V$6)</f>
        <v>3761.7174</v>
      </c>
      <c r="M758" s="3" cm="1">
        <f t="array" ref="M758">_xlfn.IFS(G758="Paid", L758, G758="Partial", L758*0.5, G758="Open", 0)</f>
        <v>1880.8587</v>
      </c>
      <c r="N758" s="3" cm="1">
        <f t="array" ref="N758">_xlfn.IFS(G758="Open", L758, G758="Partial", L758*0.5, G758="Paid", 0)</f>
        <v>1880.8587</v>
      </c>
    </row>
    <row r="759" spans="1:14" x14ac:dyDescent="0.25">
      <c r="A759" t="s">
        <v>763</v>
      </c>
      <c r="B759" t="s">
        <v>806</v>
      </c>
      <c r="C759" s="5">
        <v>45162</v>
      </c>
      <c r="D759" s="5">
        <v>45192</v>
      </c>
      <c r="E759" s="3">
        <v>3289.59</v>
      </c>
      <c r="F759" t="s">
        <v>812</v>
      </c>
      <c r="G759" t="s">
        <v>816</v>
      </c>
      <c r="H759" s="5" t="s">
        <v>825</v>
      </c>
      <c r="I759" s="7">
        <f t="shared" si="11"/>
        <v>914</v>
      </c>
      <c r="J759" s="13" t="str" cm="1">
        <f t="array" ref="J759">_xlfn.IFS(I759=0, "Settled", I759&lt;=30, "1-30", I759&lt;=90, "31-90", I759&lt;=365, "91-365", I759&gt;365, "1 Year+")</f>
        <v>1 Year+</v>
      </c>
      <c r="K759" t="s">
        <v>819</v>
      </c>
      <c r="L759" s="3" cm="1">
        <f t="array" ref="L759">_xlfn.IFS(F759="AUD",E759*$V$2,F759="CAD",E759*$V$3,F759="EUR",E759*$V$4,F759="GBP",E759*$V$5,F759="USD",E759*$V$6)</f>
        <v>4539.6341999999995</v>
      </c>
      <c r="M759" s="3" cm="1">
        <f t="array" ref="M759">_xlfn.IFS(G759="Paid", L759, G759="Partial", L759*0.5, G759="Open", 0)</f>
        <v>0</v>
      </c>
      <c r="N759" s="3" cm="1">
        <f t="array" ref="N759">_xlfn.IFS(G759="Open", L759, G759="Partial", L759*0.5, G759="Paid", 0)</f>
        <v>4539.6341999999995</v>
      </c>
    </row>
    <row r="760" spans="1:14" x14ac:dyDescent="0.25">
      <c r="A760" t="s">
        <v>764</v>
      </c>
      <c r="B760" t="s">
        <v>808</v>
      </c>
      <c r="C760" s="5">
        <v>45301</v>
      </c>
      <c r="D760" s="5">
        <v>45331</v>
      </c>
      <c r="E760" s="3">
        <v>2204.2800000000002</v>
      </c>
      <c r="F760" t="s">
        <v>814</v>
      </c>
      <c r="G760" t="s">
        <v>818</v>
      </c>
      <c r="H760" s="5">
        <v>45331</v>
      </c>
      <c r="I760" s="7">
        <f t="shared" si="11"/>
        <v>0</v>
      </c>
      <c r="J760" s="13" t="str" cm="1">
        <f t="array" ref="J760">_xlfn.IFS(I760=0, "Settled", I760&lt;=30, "1-30", I760&lt;=90, "31-90", I760&lt;=365, "91-365", I760&gt;365, "1 Year+")</f>
        <v>Settled</v>
      </c>
      <c r="K760" t="s">
        <v>819</v>
      </c>
      <c r="L760" s="3" cm="1">
        <f t="array" ref="L760">_xlfn.IFS(F760="AUD",E760*$V$2,F760="CAD",E760*$V$3,F760="EUR",E760*$V$4,F760="GBP",E760*$V$5,F760="USD",E760*$V$6)</f>
        <v>2204.2800000000002</v>
      </c>
      <c r="M760" s="3" cm="1">
        <f t="array" ref="M760">_xlfn.IFS(G760="Paid", L760, G760="Partial", L760*0.5, G760="Open", 0)</f>
        <v>2204.2800000000002</v>
      </c>
      <c r="N760" s="3" cm="1">
        <f t="array" ref="N760">_xlfn.IFS(G760="Open", L760, G760="Partial", L760*0.5, G760="Paid", 0)</f>
        <v>0</v>
      </c>
    </row>
    <row r="761" spans="1:14" x14ac:dyDescent="0.25">
      <c r="A761" t="s">
        <v>765</v>
      </c>
      <c r="B761" t="s">
        <v>808</v>
      </c>
      <c r="C761" s="5">
        <v>45340</v>
      </c>
      <c r="D761" s="5">
        <v>45370</v>
      </c>
      <c r="E761" s="3">
        <v>3457.45</v>
      </c>
      <c r="F761" t="s">
        <v>813</v>
      </c>
      <c r="G761" t="s">
        <v>816</v>
      </c>
      <c r="H761" s="5" t="s">
        <v>825</v>
      </c>
      <c r="I761" s="7">
        <f t="shared" si="11"/>
        <v>736</v>
      </c>
      <c r="J761" s="13" t="str" cm="1">
        <f t="array" ref="J761">_xlfn.IFS(I761=0, "Settled", I761&lt;=30, "1-30", I761&lt;=90, "31-90", I761&lt;=365, "91-365", I761&gt;365, "1 Year+")</f>
        <v>1 Year+</v>
      </c>
      <c r="K761" t="s">
        <v>819</v>
      </c>
      <c r="L761" s="3" cm="1">
        <f t="array" ref="L761">_xlfn.IFS(F761="AUD",E761*$V$2,F761="CAD",E761*$V$3,F761="EUR",E761*$V$4,F761="GBP",E761*$V$5,F761="USD",E761*$V$6)</f>
        <v>2593.0874999999996</v>
      </c>
      <c r="M761" s="3" cm="1">
        <f t="array" ref="M761">_xlfn.IFS(G761="Paid", L761, G761="Partial", L761*0.5, G761="Open", 0)</f>
        <v>0</v>
      </c>
      <c r="N761" s="3" cm="1">
        <f t="array" ref="N761">_xlfn.IFS(G761="Open", L761, G761="Partial", L761*0.5, G761="Paid", 0)</f>
        <v>2593.0874999999996</v>
      </c>
    </row>
    <row r="762" spans="1:14" x14ac:dyDescent="0.25">
      <c r="A762" t="s">
        <v>766</v>
      </c>
      <c r="B762" t="s">
        <v>810</v>
      </c>
      <c r="C762" s="5">
        <v>45054</v>
      </c>
      <c r="D762" s="5">
        <v>45084</v>
      </c>
      <c r="E762" s="3">
        <v>2571.9</v>
      </c>
      <c r="F762" t="s">
        <v>814</v>
      </c>
      <c r="G762" t="s">
        <v>818</v>
      </c>
      <c r="H762" s="5">
        <v>45084</v>
      </c>
      <c r="I762" s="7">
        <f t="shared" si="11"/>
        <v>0</v>
      </c>
      <c r="J762" s="13" t="str" cm="1">
        <f t="array" ref="J762">_xlfn.IFS(I762=0, "Settled", I762&lt;=30, "1-30", I762&lt;=90, "31-90", I762&lt;=365, "91-365", I762&gt;365, "1 Year+")</f>
        <v>Settled</v>
      </c>
      <c r="K762" t="s">
        <v>819</v>
      </c>
      <c r="L762" s="3" cm="1">
        <f t="array" ref="L762">_xlfn.IFS(F762="AUD",E762*$V$2,F762="CAD",E762*$V$3,F762="EUR",E762*$V$4,F762="GBP",E762*$V$5,F762="USD",E762*$V$6)</f>
        <v>2571.9</v>
      </c>
      <c r="M762" s="3" cm="1">
        <f t="array" ref="M762">_xlfn.IFS(G762="Paid", L762, G762="Partial", L762*0.5, G762="Open", 0)</f>
        <v>2571.9</v>
      </c>
      <c r="N762" s="3" cm="1">
        <f t="array" ref="N762">_xlfn.IFS(G762="Open", L762, G762="Partial", L762*0.5, G762="Paid", 0)</f>
        <v>0</v>
      </c>
    </row>
    <row r="763" spans="1:14" x14ac:dyDescent="0.25">
      <c r="A763" t="s">
        <v>767</v>
      </c>
      <c r="B763" t="s">
        <v>806</v>
      </c>
      <c r="C763" s="5">
        <v>45618</v>
      </c>
      <c r="D763" s="5">
        <v>45648</v>
      </c>
      <c r="E763" s="3">
        <v>2573.94</v>
      </c>
      <c r="F763" t="s">
        <v>811</v>
      </c>
      <c r="G763" t="s">
        <v>818</v>
      </c>
      <c r="H763" s="5">
        <v>45648</v>
      </c>
      <c r="I763" s="7">
        <f t="shared" si="11"/>
        <v>0</v>
      </c>
      <c r="J763" s="13" t="str" cm="1">
        <f t="array" ref="J763">_xlfn.IFS(I763=0, "Settled", I763&lt;=30, "1-30", I763&lt;=90, "31-90", I763&lt;=365, "91-365", I763&gt;365, "1 Year+")</f>
        <v>Settled</v>
      </c>
      <c r="K763" t="s">
        <v>819</v>
      </c>
      <c r="L763" s="3" cm="1">
        <f t="array" ref="L763">_xlfn.IFS(F763="AUD",E763*$V$2,F763="CAD",E763*$V$3,F763="EUR",E763*$V$4,F763="GBP",E763*$V$5,F763="USD",E763*$V$6)</f>
        <v>2213.5884000000001</v>
      </c>
      <c r="M763" s="3" cm="1">
        <f t="array" ref="M763">_xlfn.IFS(G763="Paid", L763, G763="Partial", L763*0.5, G763="Open", 0)</f>
        <v>2213.5884000000001</v>
      </c>
      <c r="N763" s="3" cm="1">
        <f t="array" ref="N763">_xlfn.IFS(G763="Open", L763, G763="Partial", L763*0.5, G763="Paid", 0)</f>
        <v>0</v>
      </c>
    </row>
    <row r="764" spans="1:14" x14ac:dyDescent="0.25">
      <c r="A764" t="s">
        <v>768</v>
      </c>
      <c r="B764" t="s">
        <v>806</v>
      </c>
      <c r="C764" s="5">
        <v>45679</v>
      </c>
      <c r="D764" s="5">
        <v>45709</v>
      </c>
      <c r="E764" s="3">
        <v>3760.26</v>
      </c>
      <c r="F764" t="s">
        <v>814</v>
      </c>
      <c r="G764" t="s">
        <v>816</v>
      </c>
      <c r="H764" s="5" t="s">
        <v>825</v>
      </c>
      <c r="I764" s="7">
        <f t="shared" si="11"/>
        <v>397</v>
      </c>
      <c r="J764" s="13" t="str" cm="1">
        <f t="array" ref="J764">_xlfn.IFS(I764=0, "Settled", I764&lt;=30, "1-30", I764&lt;=90, "31-90", I764&lt;=365, "91-365", I764&gt;365, "1 Year+")</f>
        <v>1 Year+</v>
      </c>
      <c r="K764" t="s">
        <v>819</v>
      </c>
      <c r="L764" s="3" cm="1">
        <f t="array" ref="L764">_xlfn.IFS(F764="AUD",E764*$V$2,F764="CAD",E764*$V$3,F764="EUR",E764*$V$4,F764="GBP",E764*$V$5,F764="USD",E764*$V$6)</f>
        <v>3760.26</v>
      </c>
      <c r="M764" s="3" cm="1">
        <f t="array" ref="M764">_xlfn.IFS(G764="Paid", L764, G764="Partial", L764*0.5, G764="Open", 0)</f>
        <v>0</v>
      </c>
      <c r="N764" s="3" cm="1">
        <f t="array" ref="N764">_xlfn.IFS(G764="Open", L764, G764="Partial", L764*0.5, G764="Paid", 0)</f>
        <v>3760.26</v>
      </c>
    </row>
    <row r="765" spans="1:14" x14ac:dyDescent="0.25">
      <c r="A765" t="s">
        <v>769</v>
      </c>
      <c r="B765" t="s">
        <v>810</v>
      </c>
      <c r="C765" s="5">
        <v>45385</v>
      </c>
      <c r="D765" s="5">
        <v>45415</v>
      </c>
      <c r="E765" s="3">
        <v>645.44000000000005</v>
      </c>
      <c r="F765" t="s">
        <v>814</v>
      </c>
      <c r="G765" t="s">
        <v>818</v>
      </c>
      <c r="H765" s="5">
        <v>45415</v>
      </c>
      <c r="I765" s="7">
        <f t="shared" si="11"/>
        <v>0</v>
      </c>
      <c r="J765" s="13" t="str" cm="1">
        <f t="array" ref="J765">_xlfn.IFS(I765=0, "Settled", I765&lt;=30, "1-30", I765&lt;=90, "31-90", I765&lt;=365, "91-365", I765&gt;365, "1 Year+")</f>
        <v>Settled</v>
      </c>
      <c r="K765" t="s">
        <v>819</v>
      </c>
      <c r="L765" s="3" cm="1">
        <f t="array" ref="L765">_xlfn.IFS(F765="AUD",E765*$V$2,F765="CAD",E765*$V$3,F765="EUR",E765*$V$4,F765="GBP",E765*$V$5,F765="USD",E765*$V$6)</f>
        <v>645.44000000000005</v>
      </c>
      <c r="M765" s="3" cm="1">
        <f t="array" ref="M765">_xlfn.IFS(G765="Paid", L765, G765="Partial", L765*0.5, G765="Open", 0)</f>
        <v>645.44000000000005</v>
      </c>
      <c r="N765" s="3" cm="1">
        <f t="array" ref="N765">_xlfn.IFS(G765="Open", L765, G765="Partial", L765*0.5, G765="Paid", 0)</f>
        <v>0</v>
      </c>
    </row>
    <row r="766" spans="1:14" x14ac:dyDescent="0.25">
      <c r="A766" t="s">
        <v>770</v>
      </c>
      <c r="B766" t="s">
        <v>810</v>
      </c>
      <c r="C766" s="5">
        <v>45148</v>
      </c>
      <c r="D766" s="5">
        <v>45178</v>
      </c>
      <c r="E766" s="3">
        <v>948.66</v>
      </c>
      <c r="F766" t="s">
        <v>813</v>
      </c>
      <c r="G766" t="s">
        <v>818</v>
      </c>
      <c r="H766" s="5">
        <v>45178</v>
      </c>
      <c r="I766" s="7">
        <f t="shared" si="11"/>
        <v>0</v>
      </c>
      <c r="J766" s="13" t="str" cm="1">
        <f t="array" ref="J766">_xlfn.IFS(I766=0, "Settled", I766&lt;=30, "1-30", I766&lt;=90, "31-90", I766&lt;=365, "91-365", I766&gt;365, "1 Year+")</f>
        <v>Settled</v>
      </c>
      <c r="K766" t="s">
        <v>819</v>
      </c>
      <c r="L766" s="3" cm="1">
        <f t="array" ref="L766">_xlfn.IFS(F766="AUD",E766*$V$2,F766="CAD",E766*$V$3,F766="EUR",E766*$V$4,F766="GBP",E766*$V$5,F766="USD",E766*$V$6)</f>
        <v>711.495</v>
      </c>
      <c r="M766" s="3" cm="1">
        <f t="array" ref="M766">_xlfn.IFS(G766="Paid", L766, G766="Partial", L766*0.5, G766="Open", 0)</f>
        <v>711.495</v>
      </c>
      <c r="N766" s="3" cm="1">
        <f t="array" ref="N766">_xlfn.IFS(G766="Open", L766, G766="Partial", L766*0.5, G766="Paid", 0)</f>
        <v>0</v>
      </c>
    </row>
    <row r="767" spans="1:14" x14ac:dyDescent="0.25">
      <c r="A767" t="s">
        <v>771</v>
      </c>
      <c r="B767" t="s">
        <v>810</v>
      </c>
      <c r="C767" s="5">
        <v>45070</v>
      </c>
      <c r="D767" s="5">
        <v>45100</v>
      </c>
      <c r="E767" s="3">
        <v>4936.8</v>
      </c>
      <c r="F767" t="s">
        <v>815</v>
      </c>
      <c r="G767" t="s">
        <v>818</v>
      </c>
      <c r="H767" s="5">
        <v>45100</v>
      </c>
      <c r="I767" s="7">
        <f t="shared" si="11"/>
        <v>0</v>
      </c>
      <c r="J767" s="13" t="str" cm="1">
        <f t="array" ref="J767">_xlfn.IFS(I767=0, "Settled", I767&lt;=30, "1-30", I767&lt;=90, "31-90", I767&lt;=365, "91-365", I767&gt;365, "1 Year+")</f>
        <v>Settled</v>
      </c>
      <c r="K767" t="s">
        <v>819</v>
      </c>
      <c r="L767" s="3" cm="1">
        <f t="array" ref="L767">_xlfn.IFS(F767="AUD",E767*$V$2,F767="CAD",E767*$V$3,F767="EUR",E767*$V$4,F767="GBP",E767*$V$5,F767="USD",E767*$V$6)</f>
        <v>7158.36</v>
      </c>
      <c r="M767" s="3" cm="1">
        <f t="array" ref="M767">_xlfn.IFS(G767="Paid", L767, G767="Partial", L767*0.5, G767="Open", 0)</f>
        <v>7158.36</v>
      </c>
      <c r="N767" s="3" cm="1">
        <f t="array" ref="N767">_xlfn.IFS(G767="Open", L767, G767="Partial", L767*0.5, G767="Paid", 0)</f>
        <v>0</v>
      </c>
    </row>
    <row r="768" spans="1:14" x14ac:dyDescent="0.25">
      <c r="A768" t="s">
        <v>772</v>
      </c>
      <c r="B768" t="s">
        <v>808</v>
      </c>
      <c r="C768" s="5">
        <v>44988</v>
      </c>
      <c r="D768" s="5">
        <v>45018</v>
      </c>
      <c r="E768" s="3">
        <v>4286.67</v>
      </c>
      <c r="F768" t="s">
        <v>814</v>
      </c>
      <c r="G768" t="s">
        <v>818</v>
      </c>
      <c r="H768" s="5">
        <v>45018</v>
      </c>
      <c r="I768" s="7">
        <f t="shared" si="11"/>
        <v>0</v>
      </c>
      <c r="J768" s="13" t="str" cm="1">
        <f t="array" ref="J768">_xlfn.IFS(I768=0, "Settled", I768&lt;=30, "1-30", I768&lt;=90, "31-90", I768&lt;=365, "91-365", I768&gt;365, "1 Year+")</f>
        <v>Settled</v>
      </c>
      <c r="K768" t="s">
        <v>819</v>
      </c>
      <c r="L768" s="3" cm="1">
        <f t="array" ref="L768">_xlfn.IFS(F768="AUD",E768*$V$2,F768="CAD",E768*$V$3,F768="EUR",E768*$V$4,F768="GBP",E768*$V$5,F768="USD",E768*$V$6)</f>
        <v>4286.67</v>
      </c>
      <c r="M768" s="3" cm="1">
        <f t="array" ref="M768">_xlfn.IFS(G768="Paid", L768, G768="Partial", L768*0.5, G768="Open", 0)</f>
        <v>4286.67</v>
      </c>
      <c r="N768" s="3" cm="1">
        <f t="array" ref="N768">_xlfn.IFS(G768="Open", L768, G768="Partial", L768*0.5, G768="Paid", 0)</f>
        <v>0</v>
      </c>
    </row>
    <row r="769" spans="1:14" x14ac:dyDescent="0.25">
      <c r="A769" t="s">
        <v>773</v>
      </c>
      <c r="B769" t="s">
        <v>807</v>
      </c>
      <c r="C769" s="5">
        <v>45263</v>
      </c>
      <c r="D769" s="5">
        <v>45293</v>
      </c>
      <c r="E769" s="3">
        <v>4346.29</v>
      </c>
      <c r="F769" t="s">
        <v>813</v>
      </c>
      <c r="G769" t="s">
        <v>817</v>
      </c>
      <c r="H769" s="5" t="s">
        <v>825</v>
      </c>
      <c r="I769" s="7">
        <f t="shared" si="11"/>
        <v>813</v>
      </c>
      <c r="J769" s="13" t="str" cm="1">
        <f t="array" ref="J769">_xlfn.IFS(I769=0, "Settled", I769&lt;=30, "1-30", I769&lt;=90, "31-90", I769&lt;=365, "91-365", I769&gt;365, "1 Year+")</f>
        <v>1 Year+</v>
      </c>
      <c r="K769" t="s">
        <v>819</v>
      </c>
      <c r="L769" s="3" cm="1">
        <f t="array" ref="L769">_xlfn.IFS(F769="AUD",E769*$V$2,F769="CAD",E769*$V$3,F769="EUR",E769*$V$4,F769="GBP",E769*$V$5,F769="USD",E769*$V$6)</f>
        <v>3259.7174999999997</v>
      </c>
      <c r="M769" s="3" cm="1">
        <f t="array" ref="M769">_xlfn.IFS(G769="Paid", L769, G769="Partial", L769*0.5, G769="Open", 0)</f>
        <v>1629.8587499999999</v>
      </c>
      <c r="N769" s="3" cm="1">
        <f t="array" ref="N769">_xlfn.IFS(G769="Open", L769, G769="Partial", L769*0.5, G769="Paid", 0)</f>
        <v>1629.8587499999999</v>
      </c>
    </row>
    <row r="770" spans="1:14" x14ac:dyDescent="0.25">
      <c r="A770" t="s">
        <v>774</v>
      </c>
      <c r="B770" t="s">
        <v>807</v>
      </c>
      <c r="C770" s="5">
        <v>45659</v>
      </c>
      <c r="D770" s="5">
        <v>45689</v>
      </c>
      <c r="E770" s="3">
        <v>2978.71</v>
      </c>
      <c r="F770" t="s">
        <v>813</v>
      </c>
      <c r="G770" t="s">
        <v>817</v>
      </c>
      <c r="H770" s="5" t="s">
        <v>825</v>
      </c>
      <c r="I770" s="7">
        <f t="shared" si="11"/>
        <v>417</v>
      </c>
      <c r="J770" s="13" t="str" cm="1">
        <f t="array" ref="J770">_xlfn.IFS(I770=0, "Settled", I770&lt;=30, "1-30", I770&lt;=90, "31-90", I770&lt;=365, "91-365", I770&gt;365, "1 Year+")</f>
        <v>1 Year+</v>
      </c>
      <c r="K770" t="s">
        <v>819</v>
      </c>
      <c r="L770" s="3" cm="1">
        <f t="array" ref="L770">_xlfn.IFS(F770="AUD",E770*$V$2,F770="CAD",E770*$V$3,F770="EUR",E770*$V$4,F770="GBP",E770*$V$5,F770="USD",E770*$V$6)</f>
        <v>2234.0325000000003</v>
      </c>
      <c r="M770" s="3" cm="1">
        <f t="array" ref="M770">_xlfn.IFS(G770="Paid", L770, G770="Partial", L770*0.5, G770="Open", 0)</f>
        <v>1117.0162500000001</v>
      </c>
      <c r="N770" s="3" cm="1">
        <f t="array" ref="N770">_xlfn.IFS(G770="Open", L770, G770="Partial", L770*0.5, G770="Paid", 0)</f>
        <v>1117.0162500000001</v>
      </c>
    </row>
    <row r="771" spans="1:14" x14ac:dyDescent="0.25">
      <c r="A771" t="s">
        <v>775</v>
      </c>
      <c r="B771" t="s">
        <v>808</v>
      </c>
      <c r="C771" s="5">
        <v>45752</v>
      </c>
      <c r="D771" s="5">
        <v>45782</v>
      </c>
      <c r="E771" s="3">
        <v>3489.97</v>
      </c>
      <c r="F771" t="s">
        <v>812</v>
      </c>
      <c r="G771" t="s">
        <v>816</v>
      </c>
      <c r="H771" s="5" t="s">
        <v>825</v>
      </c>
      <c r="I771" s="7">
        <f t="shared" ref="I771:I801" si="12">IF(G771="Paid",0,DATE(2026,3,25)-D771)</f>
        <v>324</v>
      </c>
      <c r="J771" s="13" t="str" cm="1">
        <f t="array" ref="J771">_xlfn.IFS(I771=0, "Settled", I771&lt;=30, "1-30", I771&lt;=90, "31-90", I771&lt;=365, "91-365", I771&gt;365, "1 Year+")</f>
        <v>91-365</v>
      </c>
      <c r="K771" t="s">
        <v>819</v>
      </c>
      <c r="L771" s="3" cm="1">
        <f t="array" ref="L771">_xlfn.IFS(F771="AUD",E771*$V$2,F771="CAD",E771*$V$3,F771="EUR",E771*$V$4,F771="GBP",E771*$V$5,F771="USD",E771*$V$6)</f>
        <v>4816.1585999999998</v>
      </c>
      <c r="M771" s="3" cm="1">
        <f t="array" ref="M771">_xlfn.IFS(G771="Paid", L771, G771="Partial", L771*0.5, G771="Open", 0)</f>
        <v>0</v>
      </c>
      <c r="N771" s="3" cm="1">
        <f t="array" ref="N771">_xlfn.IFS(G771="Open", L771, G771="Partial", L771*0.5, G771="Paid", 0)</f>
        <v>4816.1585999999998</v>
      </c>
    </row>
    <row r="772" spans="1:14" x14ac:dyDescent="0.25">
      <c r="A772" t="s">
        <v>776</v>
      </c>
      <c r="B772" t="s">
        <v>809</v>
      </c>
      <c r="C772" s="5">
        <v>45648</v>
      </c>
      <c r="D772" s="5">
        <v>45678</v>
      </c>
      <c r="E772" s="3">
        <v>290.89999999999998</v>
      </c>
      <c r="F772" t="s">
        <v>811</v>
      </c>
      <c r="G772" t="s">
        <v>816</v>
      </c>
      <c r="H772" s="5" t="s">
        <v>825</v>
      </c>
      <c r="I772" s="7">
        <f t="shared" si="12"/>
        <v>428</v>
      </c>
      <c r="J772" s="13" t="str" cm="1">
        <f t="array" ref="J772">_xlfn.IFS(I772=0, "Settled", I772&lt;=30, "1-30", I772&lt;=90, "31-90", I772&lt;=365, "91-365", I772&gt;365, "1 Year+")</f>
        <v>1 Year+</v>
      </c>
      <c r="K772" t="s">
        <v>819</v>
      </c>
      <c r="L772" s="3" cm="1">
        <f t="array" ref="L772">_xlfn.IFS(F772="AUD",E772*$V$2,F772="CAD",E772*$V$3,F772="EUR",E772*$V$4,F772="GBP",E772*$V$5,F772="USD",E772*$V$6)</f>
        <v>250.17399999999998</v>
      </c>
      <c r="M772" s="3" cm="1">
        <f t="array" ref="M772">_xlfn.IFS(G772="Paid", L772, G772="Partial", L772*0.5, G772="Open", 0)</f>
        <v>0</v>
      </c>
      <c r="N772" s="3" cm="1">
        <f t="array" ref="N772">_xlfn.IFS(G772="Open", L772, G772="Partial", L772*0.5, G772="Paid", 0)</f>
        <v>250.17399999999998</v>
      </c>
    </row>
    <row r="773" spans="1:14" x14ac:dyDescent="0.25">
      <c r="A773" t="s">
        <v>777</v>
      </c>
      <c r="B773" t="s">
        <v>810</v>
      </c>
      <c r="C773" s="5">
        <v>45725</v>
      </c>
      <c r="D773" s="5">
        <v>45755</v>
      </c>
      <c r="E773" s="3">
        <v>2592.92</v>
      </c>
      <c r="F773" t="s">
        <v>813</v>
      </c>
      <c r="G773" t="s">
        <v>817</v>
      </c>
      <c r="H773" s="5" t="s">
        <v>825</v>
      </c>
      <c r="I773" s="7">
        <f t="shared" si="12"/>
        <v>351</v>
      </c>
      <c r="J773" s="13" t="str" cm="1">
        <f t="array" ref="J773">_xlfn.IFS(I773=0, "Settled", I773&lt;=30, "1-30", I773&lt;=90, "31-90", I773&lt;=365, "91-365", I773&gt;365, "1 Year+")</f>
        <v>91-365</v>
      </c>
      <c r="K773" t="s">
        <v>819</v>
      </c>
      <c r="L773" s="3" cm="1">
        <f t="array" ref="L773">_xlfn.IFS(F773="AUD",E773*$V$2,F773="CAD",E773*$V$3,F773="EUR",E773*$V$4,F773="GBP",E773*$V$5,F773="USD",E773*$V$6)</f>
        <v>1944.69</v>
      </c>
      <c r="M773" s="3" cm="1">
        <f t="array" ref="M773">_xlfn.IFS(G773="Paid", L773, G773="Partial", L773*0.5, G773="Open", 0)</f>
        <v>972.34500000000003</v>
      </c>
      <c r="N773" s="3" cm="1">
        <f t="array" ref="N773">_xlfn.IFS(G773="Open", L773, G773="Partial", L773*0.5, G773="Paid", 0)</f>
        <v>972.34500000000003</v>
      </c>
    </row>
    <row r="774" spans="1:14" x14ac:dyDescent="0.25">
      <c r="A774" t="s">
        <v>778</v>
      </c>
      <c r="B774" t="s">
        <v>808</v>
      </c>
      <c r="C774" s="5">
        <v>45505</v>
      </c>
      <c r="D774" s="5">
        <v>45535</v>
      </c>
      <c r="E774" s="3">
        <v>4904.8599999999997</v>
      </c>
      <c r="F774" t="s">
        <v>812</v>
      </c>
      <c r="G774" t="s">
        <v>816</v>
      </c>
      <c r="H774" s="5" t="s">
        <v>825</v>
      </c>
      <c r="I774" s="7">
        <f t="shared" si="12"/>
        <v>571</v>
      </c>
      <c r="J774" s="13" t="str" cm="1">
        <f t="array" ref="J774">_xlfn.IFS(I774=0, "Settled", I774&lt;=30, "1-30", I774&lt;=90, "31-90", I774&lt;=365, "91-365", I774&gt;365, "1 Year+")</f>
        <v>1 Year+</v>
      </c>
      <c r="K774" t="s">
        <v>819</v>
      </c>
      <c r="L774" s="3" cm="1">
        <f t="array" ref="L774">_xlfn.IFS(F774="AUD",E774*$V$2,F774="CAD",E774*$V$3,F774="EUR",E774*$V$4,F774="GBP",E774*$V$5,F774="USD",E774*$V$6)</f>
        <v>6768.706799999999</v>
      </c>
      <c r="M774" s="3" cm="1">
        <f t="array" ref="M774">_xlfn.IFS(G774="Paid", L774, G774="Partial", L774*0.5, G774="Open", 0)</f>
        <v>0</v>
      </c>
      <c r="N774" s="3" cm="1">
        <f t="array" ref="N774">_xlfn.IFS(G774="Open", L774, G774="Partial", L774*0.5, G774="Paid", 0)</f>
        <v>6768.706799999999</v>
      </c>
    </row>
    <row r="775" spans="1:14" x14ac:dyDescent="0.25">
      <c r="A775" t="s">
        <v>779</v>
      </c>
      <c r="B775" t="s">
        <v>808</v>
      </c>
      <c r="C775" s="5">
        <v>45738</v>
      </c>
      <c r="D775" s="5">
        <v>45768</v>
      </c>
      <c r="E775" s="3">
        <v>2807.72</v>
      </c>
      <c r="F775" t="s">
        <v>813</v>
      </c>
      <c r="G775" t="s">
        <v>817</v>
      </c>
      <c r="H775" s="5" t="s">
        <v>825</v>
      </c>
      <c r="I775" s="7">
        <f t="shared" si="12"/>
        <v>338</v>
      </c>
      <c r="J775" s="13" t="str" cm="1">
        <f t="array" ref="J775">_xlfn.IFS(I775=0, "Settled", I775&lt;=30, "1-30", I775&lt;=90, "31-90", I775&lt;=365, "91-365", I775&gt;365, "1 Year+")</f>
        <v>91-365</v>
      </c>
      <c r="K775" t="s">
        <v>819</v>
      </c>
      <c r="L775" s="3" cm="1">
        <f t="array" ref="L775">_xlfn.IFS(F775="AUD",E775*$V$2,F775="CAD",E775*$V$3,F775="EUR",E775*$V$4,F775="GBP",E775*$V$5,F775="USD",E775*$V$6)</f>
        <v>2105.79</v>
      </c>
      <c r="M775" s="3" cm="1">
        <f t="array" ref="M775">_xlfn.IFS(G775="Paid", L775, G775="Partial", L775*0.5, G775="Open", 0)</f>
        <v>1052.895</v>
      </c>
      <c r="N775" s="3" cm="1">
        <f t="array" ref="N775">_xlfn.IFS(G775="Open", L775, G775="Partial", L775*0.5, G775="Paid", 0)</f>
        <v>1052.895</v>
      </c>
    </row>
    <row r="776" spans="1:14" x14ac:dyDescent="0.25">
      <c r="A776" t="s">
        <v>780</v>
      </c>
      <c r="B776" t="s">
        <v>809</v>
      </c>
      <c r="C776" s="5">
        <v>45716</v>
      </c>
      <c r="D776" s="5">
        <v>45746</v>
      </c>
      <c r="E776" s="3">
        <v>3910.59</v>
      </c>
      <c r="F776" t="s">
        <v>811</v>
      </c>
      <c r="G776" t="s">
        <v>816</v>
      </c>
      <c r="H776" s="5" t="s">
        <v>825</v>
      </c>
      <c r="I776" s="7">
        <f t="shared" si="12"/>
        <v>360</v>
      </c>
      <c r="J776" s="13" t="str" cm="1">
        <f t="array" ref="J776">_xlfn.IFS(I776=0, "Settled", I776&lt;=30, "1-30", I776&lt;=90, "31-90", I776&lt;=365, "91-365", I776&gt;365, "1 Year+")</f>
        <v>91-365</v>
      </c>
      <c r="K776" t="s">
        <v>819</v>
      </c>
      <c r="L776" s="3" cm="1">
        <f t="array" ref="L776">_xlfn.IFS(F776="AUD",E776*$V$2,F776="CAD",E776*$V$3,F776="EUR",E776*$V$4,F776="GBP",E776*$V$5,F776="USD",E776*$V$6)</f>
        <v>3363.1073999999999</v>
      </c>
      <c r="M776" s="3" cm="1">
        <f t="array" ref="M776">_xlfn.IFS(G776="Paid", L776, G776="Partial", L776*0.5, G776="Open", 0)</f>
        <v>0</v>
      </c>
      <c r="N776" s="3" cm="1">
        <f t="array" ref="N776">_xlfn.IFS(G776="Open", L776, G776="Partial", L776*0.5, G776="Paid", 0)</f>
        <v>3363.1073999999999</v>
      </c>
    </row>
    <row r="777" spans="1:14" x14ac:dyDescent="0.25">
      <c r="A777" t="s">
        <v>781</v>
      </c>
      <c r="B777" t="s">
        <v>809</v>
      </c>
      <c r="C777" s="5">
        <v>45083</v>
      </c>
      <c r="D777" s="5">
        <v>45113</v>
      </c>
      <c r="E777" s="3">
        <v>1583.9</v>
      </c>
      <c r="F777" t="s">
        <v>811</v>
      </c>
      <c r="G777" t="s">
        <v>817</v>
      </c>
      <c r="H777" s="5" t="s">
        <v>825</v>
      </c>
      <c r="I777" s="7">
        <f t="shared" si="12"/>
        <v>993</v>
      </c>
      <c r="J777" s="13" t="str" cm="1">
        <f t="array" ref="J777">_xlfn.IFS(I777=0, "Settled", I777&lt;=30, "1-30", I777&lt;=90, "31-90", I777&lt;=365, "91-365", I777&gt;365, "1 Year+")</f>
        <v>1 Year+</v>
      </c>
      <c r="K777" t="s">
        <v>819</v>
      </c>
      <c r="L777" s="3" cm="1">
        <f t="array" ref="L777">_xlfn.IFS(F777="AUD",E777*$V$2,F777="CAD",E777*$V$3,F777="EUR",E777*$V$4,F777="GBP",E777*$V$5,F777="USD",E777*$V$6)</f>
        <v>1362.154</v>
      </c>
      <c r="M777" s="3" cm="1">
        <f t="array" ref="M777">_xlfn.IFS(G777="Paid", L777, G777="Partial", L777*0.5, G777="Open", 0)</f>
        <v>681.077</v>
      </c>
      <c r="N777" s="3" cm="1">
        <f t="array" ref="N777">_xlfn.IFS(G777="Open", L777, G777="Partial", L777*0.5, G777="Paid", 0)</f>
        <v>681.077</v>
      </c>
    </row>
    <row r="778" spans="1:14" x14ac:dyDescent="0.25">
      <c r="A778" t="s">
        <v>782</v>
      </c>
      <c r="B778" t="s">
        <v>806</v>
      </c>
      <c r="C778" s="5">
        <v>45723</v>
      </c>
      <c r="D778" s="5">
        <v>45753</v>
      </c>
      <c r="E778" s="3">
        <v>734.99</v>
      </c>
      <c r="F778" t="s">
        <v>813</v>
      </c>
      <c r="G778" t="s">
        <v>817</v>
      </c>
      <c r="H778" s="5" t="s">
        <v>825</v>
      </c>
      <c r="I778" s="7">
        <f t="shared" si="12"/>
        <v>353</v>
      </c>
      <c r="J778" s="13" t="str" cm="1">
        <f t="array" ref="J778">_xlfn.IFS(I778=0, "Settled", I778&lt;=30, "1-30", I778&lt;=90, "31-90", I778&lt;=365, "91-365", I778&gt;365, "1 Year+")</f>
        <v>91-365</v>
      </c>
      <c r="K778" t="s">
        <v>819</v>
      </c>
      <c r="L778" s="3" cm="1">
        <f t="array" ref="L778">_xlfn.IFS(F778="AUD",E778*$V$2,F778="CAD",E778*$V$3,F778="EUR",E778*$V$4,F778="GBP",E778*$V$5,F778="USD",E778*$V$6)</f>
        <v>551.24250000000006</v>
      </c>
      <c r="M778" s="3" cm="1">
        <f t="array" ref="M778">_xlfn.IFS(G778="Paid", L778, G778="Partial", L778*0.5, G778="Open", 0)</f>
        <v>275.62125000000003</v>
      </c>
      <c r="N778" s="3" cm="1">
        <f t="array" ref="N778">_xlfn.IFS(G778="Open", L778, G778="Partial", L778*0.5, G778="Paid", 0)</f>
        <v>275.62125000000003</v>
      </c>
    </row>
    <row r="779" spans="1:14" x14ac:dyDescent="0.25">
      <c r="A779" t="s">
        <v>783</v>
      </c>
      <c r="B779" t="s">
        <v>808</v>
      </c>
      <c r="C779" s="5">
        <v>45315</v>
      </c>
      <c r="D779" s="5">
        <v>45345</v>
      </c>
      <c r="E779" s="3">
        <v>2547.7800000000002</v>
      </c>
      <c r="F779" t="s">
        <v>815</v>
      </c>
      <c r="G779" t="s">
        <v>816</v>
      </c>
      <c r="H779" s="5" t="s">
        <v>825</v>
      </c>
      <c r="I779" s="7">
        <f t="shared" si="12"/>
        <v>761</v>
      </c>
      <c r="J779" s="13" t="str" cm="1">
        <f t="array" ref="J779">_xlfn.IFS(I779=0, "Settled", I779&lt;=30, "1-30", I779&lt;=90, "31-90", I779&lt;=365, "91-365", I779&gt;365, "1 Year+")</f>
        <v>1 Year+</v>
      </c>
      <c r="K779" t="s">
        <v>819</v>
      </c>
      <c r="L779" s="3" cm="1">
        <f t="array" ref="L779">_xlfn.IFS(F779="AUD",E779*$V$2,F779="CAD",E779*$V$3,F779="EUR",E779*$V$4,F779="GBP",E779*$V$5,F779="USD",E779*$V$6)</f>
        <v>3694.2810000000004</v>
      </c>
      <c r="M779" s="3" cm="1">
        <f t="array" ref="M779">_xlfn.IFS(G779="Paid", L779, G779="Partial", L779*0.5, G779="Open", 0)</f>
        <v>0</v>
      </c>
      <c r="N779" s="3" cm="1">
        <f t="array" ref="N779">_xlfn.IFS(G779="Open", L779, G779="Partial", L779*0.5, G779="Paid", 0)</f>
        <v>3694.2810000000004</v>
      </c>
    </row>
    <row r="780" spans="1:14" x14ac:dyDescent="0.25">
      <c r="A780" t="s">
        <v>784</v>
      </c>
      <c r="B780" t="s">
        <v>808</v>
      </c>
      <c r="C780" s="5">
        <v>45608</v>
      </c>
      <c r="D780" s="5">
        <v>45638</v>
      </c>
      <c r="E780" s="3">
        <v>4777.6400000000003</v>
      </c>
      <c r="F780" t="s">
        <v>815</v>
      </c>
      <c r="G780" t="s">
        <v>817</v>
      </c>
      <c r="H780" s="5" t="s">
        <v>825</v>
      </c>
      <c r="I780" s="7">
        <f t="shared" si="12"/>
        <v>468</v>
      </c>
      <c r="J780" s="13" t="str" cm="1">
        <f t="array" ref="J780">_xlfn.IFS(I780=0, "Settled", I780&lt;=30, "1-30", I780&lt;=90, "31-90", I780&lt;=365, "91-365", I780&gt;365, "1 Year+")</f>
        <v>1 Year+</v>
      </c>
      <c r="K780" t="s">
        <v>819</v>
      </c>
      <c r="L780" s="3" cm="1">
        <f t="array" ref="L780">_xlfn.IFS(F780="AUD",E780*$V$2,F780="CAD",E780*$V$3,F780="EUR",E780*$V$4,F780="GBP",E780*$V$5,F780="USD",E780*$V$6)</f>
        <v>6927.5780000000004</v>
      </c>
      <c r="M780" s="3" cm="1">
        <f t="array" ref="M780">_xlfn.IFS(G780="Paid", L780, G780="Partial", L780*0.5, G780="Open", 0)</f>
        <v>3463.7890000000002</v>
      </c>
      <c r="N780" s="3" cm="1">
        <f t="array" ref="N780">_xlfn.IFS(G780="Open", L780, G780="Partial", L780*0.5, G780="Paid", 0)</f>
        <v>3463.7890000000002</v>
      </c>
    </row>
    <row r="781" spans="1:14" x14ac:dyDescent="0.25">
      <c r="A781" t="s">
        <v>785</v>
      </c>
      <c r="B781" t="s">
        <v>807</v>
      </c>
      <c r="C781" s="5">
        <v>45231</v>
      </c>
      <c r="D781" s="5">
        <v>45261</v>
      </c>
      <c r="E781" s="3">
        <v>791.99</v>
      </c>
      <c r="F781" t="s">
        <v>813</v>
      </c>
      <c r="G781" t="s">
        <v>818</v>
      </c>
      <c r="H781" s="5">
        <v>45261</v>
      </c>
      <c r="I781" s="7">
        <f t="shared" si="12"/>
        <v>0</v>
      </c>
      <c r="J781" s="13" t="str" cm="1">
        <f t="array" ref="J781">_xlfn.IFS(I781=0, "Settled", I781&lt;=30, "1-30", I781&lt;=90, "31-90", I781&lt;=365, "91-365", I781&gt;365, "1 Year+")</f>
        <v>Settled</v>
      </c>
      <c r="K781" t="s">
        <v>819</v>
      </c>
      <c r="L781" s="3" cm="1">
        <f t="array" ref="L781">_xlfn.IFS(F781="AUD",E781*$V$2,F781="CAD",E781*$V$3,F781="EUR",E781*$V$4,F781="GBP",E781*$V$5,F781="USD",E781*$V$6)</f>
        <v>593.99250000000006</v>
      </c>
      <c r="M781" s="3" cm="1">
        <f t="array" ref="M781">_xlfn.IFS(G781="Paid", L781, G781="Partial", L781*0.5, G781="Open", 0)</f>
        <v>593.99250000000006</v>
      </c>
      <c r="N781" s="3" cm="1">
        <f t="array" ref="N781">_xlfn.IFS(G781="Open", L781, G781="Partial", L781*0.5, G781="Paid", 0)</f>
        <v>0</v>
      </c>
    </row>
    <row r="782" spans="1:14" x14ac:dyDescent="0.25">
      <c r="A782" t="s">
        <v>786</v>
      </c>
      <c r="B782" t="s">
        <v>808</v>
      </c>
      <c r="C782" s="5">
        <v>45533</v>
      </c>
      <c r="D782" s="5">
        <v>45563</v>
      </c>
      <c r="E782" s="3">
        <v>4963.01</v>
      </c>
      <c r="F782" t="s">
        <v>814</v>
      </c>
      <c r="G782" t="s">
        <v>817</v>
      </c>
      <c r="H782" s="5" t="s">
        <v>825</v>
      </c>
      <c r="I782" s="7">
        <f t="shared" si="12"/>
        <v>543</v>
      </c>
      <c r="J782" s="13" t="str" cm="1">
        <f t="array" ref="J782">_xlfn.IFS(I782=0, "Settled", I782&lt;=30, "1-30", I782&lt;=90, "31-90", I782&lt;=365, "91-365", I782&gt;365, "1 Year+")</f>
        <v>1 Year+</v>
      </c>
      <c r="K782" t="s">
        <v>819</v>
      </c>
      <c r="L782" s="3" cm="1">
        <f t="array" ref="L782">_xlfn.IFS(F782="AUD",E782*$V$2,F782="CAD",E782*$V$3,F782="EUR",E782*$V$4,F782="GBP",E782*$V$5,F782="USD",E782*$V$6)</f>
        <v>4963.01</v>
      </c>
      <c r="M782" s="3" cm="1">
        <f t="array" ref="M782">_xlfn.IFS(G782="Paid", L782, G782="Partial", L782*0.5, G782="Open", 0)</f>
        <v>2481.5050000000001</v>
      </c>
      <c r="N782" s="3" cm="1">
        <f t="array" ref="N782">_xlfn.IFS(G782="Open", L782, G782="Partial", L782*0.5, G782="Paid", 0)</f>
        <v>2481.5050000000001</v>
      </c>
    </row>
    <row r="783" spans="1:14" x14ac:dyDescent="0.25">
      <c r="A783" t="s">
        <v>787</v>
      </c>
      <c r="B783" t="s">
        <v>806</v>
      </c>
      <c r="C783" s="5">
        <v>45126</v>
      </c>
      <c r="D783" s="5">
        <v>45156</v>
      </c>
      <c r="E783" s="3">
        <v>4539.28</v>
      </c>
      <c r="F783" t="s">
        <v>813</v>
      </c>
      <c r="G783" t="s">
        <v>818</v>
      </c>
      <c r="H783" s="5">
        <v>45156</v>
      </c>
      <c r="I783" s="7">
        <f t="shared" si="12"/>
        <v>0</v>
      </c>
      <c r="J783" s="13" t="str" cm="1">
        <f t="array" ref="J783">_xlfn.IFS(I783=0, "Settled", I783&lt;=30, "1-30", I783&lt;=90, "31-90", I783&lt;=365, "91-365", I783&gt;365, "1 Year+")</f>
        <v>Settled</v>
      </c>
      <c r="K783" t="s">
        <v>819</v>
      </c>
      <c r="L783" s="3" cm="1">
        <f t="array" ref="L783">_xlfn.IFS(F783="AUD",E783*$V$2,F783="CAD",E783*$V$3,F783="EUR",E783*$V$4,F783="GBP",E783*$V$5,F783="USD",E783*$V$6)</f>
        <v>3404.46</v>
      </c>
      <c r="M783" s="3" cm="1">
        <f t="array" ref="M783">_xlfn.IFS(G783="Paid", L783, G783="Partial", L783*0.5, G783="Open", 0)</f>
        <v>3404.46</v>
      </c>
      <c r="N783" s="3" cm="1">
        <f t="array" ref="N783">_xlfn.IFS(G783="Open", L783, G783="Partial", L783*0.5, G783="Paid", 0)</f>
        <v>0</v>
      </c>
    </row>
    <row r="784" spans="1:14" x14ac:dyDescent="0.25">
      <c r="A784" t="s">
        <v>788</v>
      </c>
      <c r="B784" t="s">
        <v>807</v>
      </c>
      <c r="C784" s="5">
        <v>45615</v>
      </c>
      <c r="D784" s="5">
        <v>45645</v>
      </c>
      <c r="E784" s="3">
        <v>3114.85</v>
      </c>
      <c r="F784" t="s">
        <v>811</v>
      </c>
      <c r="G784" t="s">
        <v>817</v>
      </c>
      <c r="H784" s="5" t="s">
        <v>825</v>
      </c>
      <c r="I784" s="7">
        <f t="shared" si="12"/>
        <v>461</v>
      </c>
      <c r="J784" s="13" t="str" cm="1">
        <f t="array" ref="J784">_xlfn.IFS(I784=0, "Settled", I784&lt;=30, "1-30", I784&lt;=90, "31-90", I784&lt;=365, "91-365", I784&gt;365, "1 Year+")</f>
        <v>1 Year+</v>
      </c>
      <c r="K784" t="s">
        <v>819</v>
      </c>
      <c r="L784" s="3" cm="1">
        <f t="array" ref="L784">_xlfn.IFS(F784="AUD",E784*$V$2,F784="CAD",E784*$V$3,F784="EUR",E784*$V$4,F784="GBP",E784*$V$5,F784="USD",E784*$V$6)</f>
        <v>2678.7709999999997</v>
      </c>
      <c r="M784" s="3" cm="1">
        <f t="array" ref="M784">_xlfn.IFS(G784="Paid", L784, G784="Partial", L784*0.5, G784="Open", 0)</f>
        <v>1339.3854999999999</v>
      </c>
      <c r="N784" s="3" cm="1">
        <f t="array" ref="N784">_xlfn.IFS(G784="Open", L784, G784="Partial", L784*0.5, G784="Paid", 0)</f>
        <v>1339.3854999999999</v>
      </c>
    </row>
    <row r="785" spans="1:14" x14ac:dyDescent="0.25">
      <c r="A785" t="s">
        <v>789</v>
      </c>
      <c r="B785" t="s">
        <v>809</v>
      </c>
      <c r="C785" s="5">
        <v>45768</v>
      </c>
      <c r="D785" s="5">
        <v>45798</v>
      </c>
      <c r="E785" s="3">
        <v>3340.58</v>
      </c>
      <c r="F785" t="s">
        <v>815</v>
      </c>
      <c r="G785" t="s">
        <v>818</v>
      </c>
      <c r="H785" s="5">
        <v>45798</v>
      </c>
      <c r="I785" s="7">
        <f t="shared" si="12"/>
        <v>0</v>
      </c>
      <c r="J785" s="13" t="str" cm="1">
        <f t="array" ref="J785">_xlfn.IFS(I785=0, "Settled", I785&lt;=30, "1-30", I785&lt;=90, "31-90", I785&lt;=365, "91-365", I785&gt;365, "1 Year+")</f>
        <v>Settled</v>
      </c>
      <c r="K785" t="s">
        <v>819</v>
      </c>
      <c r="L785" s="3" cm="1">
        <f t="array" ref="L785">_xlfn.IFS(F785="AUD",E785*$V$2,F785="CAD",E785*$V$3,F785="EUR",E785*$V$4,F785="GBP",E785*$V$5,F785="USD",E785*$V$6)</f>
        <v>4843.8409999999994</v>
      </c>
      <c r="M785" s="3" cm="1">
        <f t="array" ref="M785">_xlfn.IFS(G785="Paid", L785, G785="Partial", L785*0.5, G785="Open", 0)</f>
        <v>4843.8409999999994</v>
      </c>
      <c r="N785" s="3" cm="1">
        <f t="array" ref="N785">_xlfn.IFS(G785="Open", L785, G785="Partial", L785*0.5, G785="Paid", 0)</f>
        <v>0</v>
      </c>
    </row>
    <row r="786" spans="1:14" x14ac:dyDescent="0.25">
      <c r="A786" t="s">
        <v>790</v>
      </c>
      <c r="B786" t="s">
        <v>808</v>
      </c>
      <c r="C786" s="5">
        <v>45754</v>
      </c>
      <c r="D786" s="5">
        <v>45784</v>
      </c>
      <c r="E786" s="3">
        <v>4187.3</v>
      </c>
      <c r="F786" t="s">
        <v>815</v>
      </c>
      <c r="G786" t="s">
        <v>818</v>
      </c>
      <c r="H786" s="5">
        <v>45784</v>
      </c>
      <c r="I786" s="7">
        <f t="shared" si="12"/>
        <v>0</v>
      </c>
      <c r="J786" s="13" t="str" cm="1">
        <f t="array" ref="J786">_xlfn.IFS(I786=0, "Settled", I786&lt;=30, "1-30", I786&lt;=90, "31-90", I786&lt;=365, "91-365", I786&gt;365, "1 Year+")</f>
        <v>Settled</v>
      </c>
      <c r="K786" t="s">
        <v>819</v>
      </c>
      <c r="L786" s="3" cm="1">
        <f t="array" ref="L786">_xlfn.IFS(F786="AUD",E786*$V$2,F786="CAD",E786*$V$3,F786="EUR",E786*$V$4,F786="GBP",E786*$V$5,F786="USD",E786*$V$6)</f>
        <v>6071.585</v>
      </c>
      <c r="M786" s="3" cm="1">
        <f t="array" ref="M786">_xlfn.IFS(G786="Paid", L786, G786="Partial", L786*0.5, G786="Open", 0)</f>
        <v>6071.585</v>
      </c>
      <c r="N786" s="3" cm="1">
        <f t="array" ref="N786">_xlfn.IFS(G786="Open", L786, G786="Partial", L786*0.5, G786="Paid", 0)</f>
        <v>0</v>
      </c>
    </row>
    <row r="787" spans="1:14" x14ac:dyDescent="0.25">
      <c r="A787" t="s">
        <v>791</v>
      </c>
      <c r="B787" t="s">
        <v>807</v>
      </c>
      <c r="C787" s="5">
        <v>45249</v>
      </c>
      <c r="D787" s="5">
        <v>45279</v>
      </c>
      <c r="E787" s="3">
        <v>4020.64</v>
      </c>
      <c r="F787" t="s">
        <v>812</v>
      </c>
      <c r="G787" t="s">
        <v>818</v>
      </c>
      <c r="H787" s="5">
        <v>45279</v>
      </c>
      <c r="I787" s="7">
        <f t="shared" si="12"/>
        <v>0</v>
      </c>
      <c r="J787" s="13" t="str" cm="1">
        <f t="array" ref="J787">_xlfn.IFS(I787=0, "Settled", I787&lt;=30, "1-30", I787&lt;=90, "31-90", I787&lt;=365, "91-365", I787&gt;365, "1 Year+")</f>
        <v>Settled</v>
      </c>
      <c r="K787" t="s">
        <v>819</v>
      </c>
      <c r="L787" s="3" cm="1">
        <f t="array" ref="L787">_xlfn.IFS(F787="AUD",E787*$V$2,F787="CAD",E787*$V$3,F787="EUR",E787*$V$4,F787="GBP",E787*$V$5,F787="USD",E787*$V$6)</f>
        <v>5548.4831999999997</v>
      </c>
      <c r="M787" s="3" cm="1">
        <f t="array" ref="M787">_xlfn.IFS(G787="Paid", L787, G787="Partial", L787*0.5, G787="Open", 0)</f>
        <v>5548.4831999999997</v>
      </c>
      <c r="N787" s="3" cm="1">
        <f t="array" ref="N787">_xlfn.IFS(G787="Open", L787, G787="Partial", L787*0.5, G787="Paid", 0)</f>
        <v>0</v>
      </c>
    </row>
    <row r="788" spans="1:14" x14ac:dyDescent="0.25">
      <c r="A788" t="s">
        <v>792</v>
      </c>
      <c r="B788" t="s">
        <v>810</v>
      </c>
      <c r="C788" s="5">
        <v>45687</v>
      </c>
      <c r="D788" s="5">
        <v>45717</v>
      </c>
      <c r="E788" s="3">
        <v>755.89</v>
      </c>
      <c r="F788" t="s">
        <v>813</v>
      </c>
      <c r="G788" t="s">
        <v>817</v>
      </c>
      <c r="H788" s="5" t="s">
        <v>825</v>
      </c>
      <c r="I788" s="7">
        <f t="shared" si="12"/>
        <v>389</v>
      </c>
      <c r="J788" s="13" t="str" cm="1">
        <f t="array" ref="J788">_xlfn.IFS(I788=0, "Settled", I788&lt;=30, "1-30", I788&lt;=90, "31-90", I788&lt;=365, "91-365", I788&gt;365, "1 Year+")</f>
        <v>1 Year+</v>
      </c>
      <c r="K788" t="s">
        <v>819</v>
      </c>
      <c r="L788" s="3" cm="1">
        <f t="array" ref="L788">_xlfn.IFS(F788="AUD",E788*$V$2,F788="CAD",E788*$V$3,F788="EUR",E788*$V$4,F788="GBP",E788*$V$5,F788="USD",E788*$V$6)</f>
        <v>566.91750000000002</v>
      </c>
      <c r="M788" s="3" cm="1">
        <f t="array" ref="M788">_xlfn.IFS(G788="Paid", L788, G788="Partial", L788*0.5, G788="Open", 0)</f>
        <v>283.45875000000001</v>
      </c>
      <c r="N788" s="3" cm="1">
        <f t="array" ref="N788">_xlfn.IFS(G788="Open", L788, G788="Partial", L788*0.5, G788="Paid", 0)</f>
        <v>283.45875000000001</v>
      </c>
    </row>
    <row r="789" spans="1:14" x14ac:dyDescent="0.25">
      <c r="A789" t="s">
        <v>793</v>
      </c>
      <c r="B789" t="s">
        <v>808</v>
      </c>
      <c r="C789" s="5">
        <v>45115</v>
      </c>
      <c r="D789" s="5">
        <v>45145</v>
      </c>
      <c r="E789" s="3">
        <v>1670.28</v>
      </c>
      <c r="F789" t="s">
        <v>812</v>
      </c>
      <c r="G789" t="s">
        <v>818</v>
      </c>
      <c r="H789" s="5">
        <v>45145</v>
      </c>
      <c r="I789" s="7">
        <f t="shared" si="12"/>
        <v>0</v>
      </c>
      <c r="J789" s="13" t="str" cm="1">
        <f t="array" ref="J789">_xlfn.IFS(I789=0, "Settled", I789&lt;=30, "1-30", I789&lt;=90, "31-90", I789&lt;=365, "91-365", I789&gt;365, "1 Year+")</f>
        <v>Settled</v>
      </c>
      <c r="K789" t="s">
        <v>819</v>
      </c>
      <c r="L789" s="3" cm="1">
        <f t="array" ref="L789">_xlfn.IFS(F789="AUD",E789*$V$2,F789="CAD",E789*$V$3,F789="EUR",E789*$V$4,F789="GBP",E789*$V$5,F789="USD",E789*$V$6)</f>
        <v>2304.9863999999998</v>
      </c>
      <c r="M789" s="3" cm="1">
        <f t="array" ref="M789">_xlfn.IFS(G789="Paid", L789, G789="Partial", L789*0.5, G789="Open", 0)</f>
        <v>2304.9863999999998</v>
      </c>
      <c r="N789" s="3" cm="1">
        <f t="array" ref="N789">_xlfn.IFS(G789="Open", L789, G789="Partial", L789*0.5, G789="Paid", 0)</f>
        <v>0</v>
      </c>
    </row>
    <row r="790" spans="1:14" x14ac:dyDescent="0.25">
      <c r="A790" t="s">
        <v>794</v>
      </c>
      <c r="B790" t="s">
        <v>806</v>
      </c>
      <c r="C790" s="5">
        <v>45551</v>
      </c>
      <c r="D790" s="5">
        <v>45581</v>
      </c>
      <c r="E790" s="3">
        <v>4064.87</v>
      </c>
      <c r="F790" t="s">
        <v>811</v>
      </c>
      <c r="G790" t="s">
        <v>817</v>
      </c>
      <c r="H790" s="5" t="s">
        <v>825</v>
      </c>
      <c r="I790" s="7">
        <f t="shared" si="12"/>
        <v>525</v>
      </c>
      <c r="J790" s="13" t="str" cm="1">
        <f t="array" ref="J790">_xlfn.IFS(I790=0, "Settled", I790&lt;=30, "1-30", I790&lt;=90, "31-90", I790&lt;=365, "91-365", I790&gt;365, "1 Year+")</f>
        <v>1 Year+</v>
      </c>
      <c r="K790" t="s">
        <v>819</v>
      </c>
      <c r="L790" s="3" cm="1">
        <f t="array" ref="L790">_xlfn.IFS(F790="AUD",E790*$V$2,F790="CAD",E790*$V$3,F790="EUR",E790*$V$4,F790="GBP",E790*$V$5,F790="USD",E790*$V$6)</f>
        <v>3495.7882</v>
      </c>
      <c r="M790" s="3" cm="1">
        <f t="array" ref="M790">_xlfn.IFS(G790="Paid", L790, G790="Partial", L790*0.5, G790="Open", 0)</f>
        <v>1747.8941</v>
      </c>
      <c r="N790" s="3" cm="1">
        <f t="array" ref="N790">_xlfn.IFS(G790="Open", L790, G790="Partial", L790*0.5, G790="Paid", 0)</f>
        <v>1747.8941</v>
      </c>
    </row>
    <row r="791" spans="1:14" x14ac:dyDescent="0.25">
      <c r="A791" t="s">
        <v>795</v>
      </c>
      <c r="B791" t="s">
        <v>807</v>
      </c>
      <c r="C791" s="5">
        <v>44975</v>
      </c>
      <c r="D791" s="5">
        <v>45005</v>
      </c>
      <c r="E791" s="3">
        <v>4071.09</v>
      </c>
      <c r="F791" t="s">
        <v>814</v>
      </c>
      <c r="G791" t="s">
        <v>817</v>
      </c>
      <c r="H791" s="5" t="s">
        <v>825</v>
      </c>
      <c r="I791" s="7">
        <f t="shared" si="12"/>
        <v>1101</v>
      </c>
      <c r="J791" s="13" t="str" cm="1">
        <f t="array" ref="J791">_xlfn.IFS(I791=0, "Settled", I791&lt;=30, "1-30", I791&lt;=90, "31-90", I791&lt;=365, "91-365", I791&gt;365, "1 Year+")</f>
        <v>1 Year+</v>
      </c>
      <c r="K791" t="s">
        <v>819</v>
      </c>
      <c r="L791" s="3" cm="1">
        <f t="array" ref="L791">_xlfn.IFS(F791="AUD",E791*$V$2,F791="CAD",E791*$V$3,F791="EUR",E791*$V$4,F791="GBP",E791*$V$5,F791="USD",E791*$V$6)</f>
        <v>4071.09</v>
      </c>
      <c r="M791" s="3" cm="1">
        <f t="array" ref="M791">_xlfn.IFS(G791="Paid", L791, G791="Partial", L791*0.5, G791="Open", 0)</f>
        <v>2035.5450000000001</v>
      </c>
      <c r="N791" s="3" cm="1">
        <f t="array" ref="N791">_xlfn.IFS(G791="Open", L791, G791="Partial", L791*0.5, G791="Paid", 0)</f>
        <v>2035.5450000000001</v>
      </c>
    </row>
    <row r="792" spans="1:14" x14ac:dyDescent="0.25">
      <c r="A792" t="s">
        <v>796</v>
      </c>
      <c r="B792" t="s">
        <v>806</v>
      </c>
      <c r="C792" s="5">
        <v>45682</v>
      </c>
      <c r="D792" s="5">
        <v>45712</v>
      </c>
      <c r="E792" s="3">
        <v>311.52</v>
      </c>
      <c r="F792" t="s">
        <v>813</v>
      </c>
      <c r="G792" t="s">
        <v>816</v>
      </c>
      <c r="H792" s="5" t="s">
        <v>825</v>
      </c>
      <c r="I792" s="7">
        <f t="shared" si="12"/>
        <v>394</v>
      </c>
      <c r="J792" s="13" t="str" cm="1">
        <f t="array" ref="J792">_xlfn.IFS(I792=0, "Settled", I792&lt;=30, "1-30", I792&lt;=90, "31-90", I792&lt;=365, "91-365", I792&gt;365, "1 Year+")</f>
        <v>1 Year+</v>
      </c>
      <c r="K792" t="s">
        <v>819</v>
      </c>
      <c r="L792" s="3" cm="1">
        <f t="array" ref="L792">_xlfn.IFS(F792="AUD",E792*$V$2,F792="CAD",E792*$V$3,F792="EUR",E792*$V$4,F792="GBP",E792*$V$5,F792="USD",E792*$V$6)</f>
        <v>233.64</v>
      </c>
      <c r="M792" s="3" cm="1">
        <f t="array" ref="M792">_xlfn.IFS(G792="Paid", L792, G792="Partial", L792*0.5, G792="Open", 0)</f>
        <v>0</v>
      </c>
      <c r="N792" s="3" cm="1">
        <f t="array" ref="N792">_xlfn.IFS(G792="Open", L792, G792="Partial", L792*0.5, G792="Paid", 0)</f>
        <v>233.64</v>
      </c>
    </row>
    <row r="793" spans="1:14" x14ac:dyDescent="0.25">
      <c r="A793" t="s">
        <v>797</v>
      </c>
      <c r="B793" t="s">
        <v>807</v>
      </c>
      <c r="C793" s="5">
        <v>45467</v>
      </c>
      <c r="D793" s="5">
        <v>45497</v>
      </c>
      <c r="E793" s="3">
        <v>4351.8</v>
      </c>
      <c r="F793" t="s">
        <v>815</v>
      </c>
      <c r="G793" t="s">
        <v>818</v>
      </c>
      <c r="H793" s="5">
        <v>45497</v>
      </c>
      <c r="I793" s="7">
        <f t="shared" si="12"/>
        <v>0</v>
      </c>
      <c r="J793" s="13" t="str" cm="1">
        <f t="array" ref="J793">_xlfn.IFS(I793=0, "Settled", I793&lt;=30, "1-30", I793&lt;=90, "31-90", I793&lt;=365, "91-365", I793&gt;365, "1 Year+")</f>
        <v>Settled</v>
      </c>
      <c r="K793" t="s">
        <v>819</v>
      </c>
      <c r="L793" s="3" cm="1">
        <f t="array" ref="L793">_xlfn.IFS(F793="AUD",E793*$V$2,F793="CAD",E793*$V$3,F793="EUR",E793*$V$4,F793="GBP",E793*$V$5,F793="USD",E793*$V$6)</f>
        <v>6310.11</v>
      </c>
      <c r="M793" s="3" cm="1">
        <f t="array" ref="M793">_xlfn.IFS(G793="Paid", L793, G793="Partial", L793*0.5, G793="Open", 0)</f>
        <v>6310.11</v>
      </c>
      <c r="N793" s="3" cm="1">
        <f t="array" ref="N793">_xlfn.IFS(G793="Open", L793, G793="Partial", L793*0.5, G793="Paid", 0)</f>
        <v>0</v>
      </c>
    </row>
    <row r="794" spans="1:14" x14ac:dyDescent="0.25">
      <c r="A794" t="s">
        <v>798</v>
      </c>
      <c r="B794" t="s">
        <v>806</v>
      </c>
      <c r="C794" s="5">
        <v>45354</v>
      </c>
      <c r="D794" s="5">
        <v>45384</v>
      </c>
      <c r="E794" s="3">
        <v>3524.51</v>
      </c>
      <c r="F794" t="s">
        <v>813</v>
      </c>
      <c r="G794" t="s">
        <v>816</v>
      </c>
      <c r="H794" s="5" t="s">
        <v>825</v>
      </c>
      <c r="I794" s="7">
        <f t="shared" si="12"/>
        <v>722</v>
      </c>
      <c r="J794" s="13" t="str" cm="1">
        <f t="array" ref="J794">_xlfn.IFS(I794=0, "Settled", I794&lt;=30, "1-30", I794&lt;=90, "31-90", I794&lt;=365, "91-365", I794&gt;365, "1 Year+")</f>
        <v>1 Year+</v>
      </c>
      <c r="K794" t="s">
        <v>819</v>
      </c>
      <c r="L794" s="3" cm="1">
        <f t="array" ref="L794">_xlfn.IFS(F794="AUD",E794*$V$2,F794="CAD",E794*$V$3,F794="EUR",E794*$V$4,F794="GBP",E794*$V$5,F794="USD",E794*$V$6)</f>
        <v>2643.3825000000002</v>
      </c>
      <c r="M794" s="3" cm="1">
        <f t="array" ref="M794">_xlfn.IFS(G794="Paid", L794, G794="Partial", L794*0.5, G794="Open", 0)</f>
        <v>0</v>
      </c>
      <c r="N794" s="3" cm="1">
        <f t="array" ref="N794">_xlfn.IFS(G794="Open", L794, G794="Partial", L794*0.5, G794="Paid", 0)</f>
        <v>2643.3825000000002</v>
      </c>
    </row>
    <row r="795" spans="1:14" x14ac:dyDescent="0.25">
      <c r="A795" t="s">
        <v>799</v>
      </c>
      <c r="B795" t="s">
        <v>806</v>
      </c>
      <c r="C795" s="5">
        <v>44978</v>
      </c>
      <c r="D795" s="5">
        <v>45008</v>
      </c>
      <c r="E795" s="3">
        <v>2999.23</v>
      </c>
      <c r="F795" t="s">
        <v>815</v>
      </c>
      <c r="G795" t="s">
        <v>818</v>
      </c>
      <c r="H795" s="5">
        <v>45008</v>
      </c>
      <c r="I795" s="7">
        <f t="shared" si="12"/>
        <v>0</v>
      </c>
      <c r="J795" s="13" t="str" cm="1">
        <f t="array" ref="J795">_xlfn.IFS(I795=0, "Settled", I795&lt;=30, "1-30", I795&lt;=90, "31-90", I795&lt;=365, "91-365", I795&gt;365, "1 Year+")</f>
        <v>Settled</v>
      </c>
      <c r="K795" t="s">
        <v>819</v>
      </c>
      <c r="L795" s="3" cm="1">
        <f t="array" ref="L795">_xlfn.IFS(F795="AUD",E795*$V$2,F795="CAD",E795*$V$3,F795="EUR",E795*$V$4,F795="GBP",E795*$V$5,F795="USD",E795*$V$6)</f>
        <v>4348.8834999999999</v>
      </c>
      <c r="M795" s="3" cm="1">
        <f t="array" ref="M795">_xlfn.IFS(G795="Paid", L795, G795="Partial", L795*0.5, G795="Open", 0)</f>
        <v>4348.8834999999999</v>
      </c>
      <c r="N795" s="3" cm="1">
        <f t="array" ref="N795">_xlfn.IFS(G795="Open", L795, G795="Partial", L795*0.5, G795="Paid", 0)</f>
        <v>0</v>
      </c>
    </row>
    <row r="796" spans="1:14" x14ac:dyDescent="0.25">
      <c r="A796" t="s">
        <v>800</v>
      </c>
      <c r="B796" t="s">
        <v>807</v>
      </c>
      <c r="C796" s="5">
        <v>45543</v>
      </c>
      <c r="D796" s="5">
        <v>45573</v>
      </c>
      <c r="E796" s="3">
        <v>754.06</v>
      </c>
      <c r="F796" t="s">
        <v>811</v>
      </c>
      <c r="G796" t="s">
        <v>817</v>
      </c>
      <c r="H796" s="5" t="s">
        <v>825</v>
      </c>
      <c r="I796" s="7">
        <f t="shared" si="12"/>
        <v>533</v>
      </c>
      <c r="J796" s="13" t="str" cm="1">
        <f t="array" ref="J796">_xlfn.IFS(I796=0, "Settled", I796&lt;=30, "1-30", I796&lt;=90, "31-90", I796&lt;=365, "91-365", I796&gt;365, "1 Year+")</f>
        <v>1 Year+</v>
      </c>
      <c r="K796" t="s">
        <v>819</v>
      </c>
      <c r="L796" s="3" cm="1">
        <f t="array" ref="L796">_xlfn.IFS(F796="AUD",E796*$V$2,F796="CAD",E796*$V$3,F796="EUR",E796*$V$4,F796="GBP",E796*$V$5,F796="USD",E796*$V$6)</f>
        <v>648.49159999999995</v>
      </c>
      <c r="M796" s="3" cm="1">
        <f t="array" ref="M796">_xlfn.IFS(G796="Paid", L796, G796="Partial", L796*0.5, G796="Open", 0)</f>
        <v>324.24579999999997</v>
      </c>
      <c r="N796" s="3" cm="1">
        <f t="array" ref="N796">_xlfn.IFS(G796="Open", L796, G796="Partial", L796*0.5, G796="Paid", 0)</f>
        <v>324.24579999999997</v>
      </c>
    </row>
    <row r="797" spans="1:14" x14ac:dyDescent="0.25">
      <c r="A797" t="s">
        <v>801</v>
      </c>
      <c r="B797" t="s">
        <v>807</v>
      </c>
      <c r="C797" s="5">
        <v>44961</v>
      </c>
      <c r="D797" s="5">
        <v>44991</v>
      </c>
      <c r="E797" s="3">
        <v>4250.7</v>
      </c>
      <c r="F797" t="s">
        <v>815</v>
      </c>
      <c r="G797" t="s">
        <v>818</v>
      </c>
      <c r="H797" s="5">
        <v>44991</v>
      </c>
      <c r="I797" s="7">
        <f t="shared" si="12"/>
        <v>0</v>
      </c>
      <c r="J797" s="13" t="str" cm="1">
        <f t="array" ref="J797">_xlfn.IFS(I797=0, "Settled", I797&lt;=30, "1-30", I797&lt;=90, "31-90", I797&lt;=365, "91-365", I797&gt;365, "1 Year+")</f>
        <v>Settled</v>
      </c>
      <c r="K797" t="s">
        <v>819</v>
      </c>
      <c r="L797" s="3" cm="1">
        <f t="array" ref="L797">_xlfn.IFS(F797="AUD",E797*$V$2,F797="CAD",E797*$V$3,F797="EUR",E797*$V$4,F797="GBP",E797*$V$5,F797="USD",E797*$V$6)</f>
        <v>6163.5149999999994</v>
      </c>
      <c r="M797" s="3" cm="1">
        <f t="array" ref="M797">_xlfn.IFS(G797="Paid", L797, G797="Partial", L797*0.5, G797="Open", 0)</f>
        <v>6163.5149999999994</v>
      </c>
      <c r="N797" s="3" cm="1">
        <f t="array" ref="N797">_xlfn.IFS(G797="Open", L797, G797="Partial", L797*0.5, G797="Paid", 0)</f>
        <v>0</v>
      </c>
    </row>
    <row r="798" spans="1:14" x14ac:dyDescent="0.25">
      <c r="A798" t="s">
        <v>802</v>
      </c>
      <c r="B798" t="s">
        <v>806</v>
      </c>
      <c r="C798" s="5">
        <v>45384</v>
      </c>
      <c r="D798" s="5">
        <v>45414</v>
      </c>
      <c r="E798" s="3">
        <v>613.6</v>
      </c>
      <c r="F798" t="s">
        <v>813</v>
      </c>
      <c r="G798" t="s">
        <v>816</v>
      </c>
      <c r="H798" s="5" t="s">
        <v>825</v>
      </c>
      <c r="I798" s="7">
        <f t="shared" si="12"/>
        <v>692</v>
      </c>
      <c r="J798" s="13" t="str" cm="1">
        <f t="array" ref="J798">_xlfn.IFS(I798=0, "Settled", I798&lt;=30, "1-30", I798&lt;=90, "31-90", I798&lt;=365, "91-365", I798&gt;365, "1 Year+")</f>
        <v>1 Year+</v>
      </c>
      <c r="K798" t="s">
        <v>819</v>
      </c>
      <c r="L798" s="3" cm="1">
        <f t="array" ref="L798">_xlfn.IFS(F798="AUD",E798*$V$2,F798="CAD",E798*$V$3,F798="EUR",E798*$V$4,F798="GBP",E798*$V$5,F798="USD",E798*$V$6)</f>
        <v>460.20000000000005</v>
      </c>
      <c r="M798" s="3" cm="1">
        <f t="array" ref="M798">_xlfn.IFS(G798="Paid", L798, G798="Partial", L798*0.5, G798="Open", 0)</f>
        <v>0</v>
      </c>
      <c r="N798" s="3" cm="1">
        <f t="array" ref="N798">_xlfn.IFS(G798="Open", L798, G798="Partial", L798*0.5, G798="Paid", 0)</f>
        <v>460.20000000000005</v>
      </c>
    </row>
    <row r="799" spans="1:14" x14ac:dyDescent="0.25">
      <c r="A799" t="s">
        <v>803</v>
      </c>
      <c r="B799" t="s">
        <v>809</v>
      </c>
      <c r="C799" s="5">
        <v>45732</v>
      </c>
      <c r="D799" s="5">
        <v>45762</v>
      </c>
      <c r="E799" s="3">
        <v>1012.88</v>
      </c>
      <c r="F799" t="s">
        <v>811</v>
      </c>
      <c r="G799" t="s">
        <v>817</v>
      </c>
      <c r="H799" s="5" t="s">
        <v>825</v>
      </c>
      <c r="I799" s="7">
        <f t="shared" si="12"/>
        <v>344</v>
      </c>
      <c r="J799" s="13" t="str" cm="1">
        <f t="array" ref="J799">_xlfn.IFS(I799=0, "Settled", I799&lt;=30, "1-30", I799&lt;=90, "31-90", I799&lt;=365, "91-365", I799&gt;365, "1 Year+")</f>
        <v>91-365</v>
      </c>
      <c r="K799" t="s">
        <v>819</v>
      </c>
      <c r="L799" s="3" cm="1">
        <f t="array" ref="L799">_xlfn.IFS(F799="AUD",E799*$V$2,F799="CAD",E799*$V$3,F799="EUR",E799*$V$4,F799="GBP",E799*$V$5,F799="USD",E799*$V$6)</f>
        <v>871.07679999999993</v>
      </c>
      <c r="M799" s="3" cm="1">
        <f t="array" ref="M799">_xlfn.IFS(G799="Paid", L799, G799="Partial", L799*0.5, G799="Open", 0)</f>
        <v>435.53839999999997</v>
      </c>
      <c r="N799" s="3" cm="1">
        <f t="array" ref="N799">_xlfn.IFS(G799="Open", L799, G799="Partial", L799*0.5, G799="Paid", 0)</f>
        <v>435.53839999999997</v>
      </c>
    </row>
    <row r="800" spans="1:14" x14ac:dyDescent="0.25">
      <c r="A800" t="s">
        <v>804</v>
      </c>
      <c r="B800" t="s">
        <v>808</v>
      </c>
      <c r="C800" s="5">
        <v>45827</v>
      </c>
      <c r="D800" s="5">
        <v>45857</v>
      </c>
      <c r="E800" s="3">
        <v>290.27</v>
      </c>
      <c r="F800" t="s">
        <v>813</v>
      </c>
      <c r="G800" t="s">
        <v>817</v>
      </c>
      <c r="H800" s="5" t="s">
        <v>825</v>
      </c>
      <c r="I800" s="7">
        <f t="shared" si="12"/>
        <v>249</v>
      </c>
      <c r="J800" s="13" t="str" cm="1">
        <f t="array" ref="J800">_xlfn.IFS(I800=0, "Settled", I800&lt;=30, "1-30", I800&lt;=90, "31-90", I800&lt;=365, "91-365", I800&gt;365, "1 Year+")</f>
        <v>91-365</v>
      </c>
      <c r="K800" t="s">
        <v>819</v>
      </c>
      <c r="L800" s="3" cm="1">
        <f t="array" ref="L800">_xlfn.IFS(F800="AUD",E800*$V$2,F800="CAD",E800*$V$3,F800="EUR",E800*$V$4,F800="GBP",E800*$V$5,F800="USD",E800*$V$6)</f>
        <v>217.70249999999999</v>
      </c>
      <c r="M800" s="3" cm="1">
        <f t="array" ref="M800">_xlfn.IFS(G800="Paid", L800, G800="Partial", L800*0.5, G800="Open", 0)</f>
        <v>108.85124999999999</v>
      </c>
      <c r="N800" s="3" cm="1">
        <f t="array" ref="N800">_xlfn.IFS(G800="Open", L800, G800="Partial", L800*0.5, G800="Paid", 0)</f>
        <v>108.85124999999999</v>
      </c>
    </row>
    <row r="801" spans="1:14" x14ac:dyDescent="0.25">
      <c r="A801" t="s">
        <v>805</v>
      </c>
      <c r="B801" t="s">
        <v>809</v>
      </c>
      <c r="C801" s="5">
        <v>45648</v>
      </c>
      <c r="D801" s="5">
        <v>45678</v>
      </c>
      <c r="E801" s="3">
        <v>4608.55</v>
      </c>
      <c r="F801" t="s">
        <v>815</v>
      </c>
      <c r="G801" t="s">
        <v>817</v>
      </c>
      <c r="H801" s="5" t="s">
        <v>825</v>
      </c>
      <c r="I801" s="7">
        <f t="shared" si="12"/>
        <v>428</v>
      </c>
      <c r="J801" s="13" t="str" cm="1">
        <f t="array" ref="J801">_xlfn.IFS(I801=0, "Settled", I801&lt;=30, "1-30", I801&lt;=90, "31-90", I801&lt;=365, "91-365", I801&gt;365, "1 Year+")</f>
        <v>1 Year+</v>
      </c>
      <c r="K801" t="s">
        <v>819</v>
      </c>
      <c r="L801" s="3" cm="1">
        <f t="array" ref="L801">_xlfn.IFS(F801="AUD",E801*$V$2,F801="CAD",E801*$V$3,F801="EUR",E801*$V$4,F801="GBP",E801*$V$5,F801="USD",E801*$V$6)</f>
        <v>6682.3975</v>
      </c>
      <c r="M801" s="3" cm="1">
        <f t="array" ref="M801">_xlfn.IFS(G801="Paid", L801, G801="Partial", L801*0.5, G801="Open", 0)</f>
        <v>3341.19875</v>
      </c>
      <c r="N801" s="3" cm="1">
        <f t="array" ref="N801">_xlfn.IFS(G801="Open", L801, G801="Partial", L801*0.5, G801="Paid", 0)</f>
        <v>3341.19875</v>
      </c>
    </row>
  </sheetData>
  <autoFilter ref="A1:N801" xr:uid="{00000000-0001-0000-0000-000000000000}"/>
  <conditionalFormatting sqref="G1:G1048576">
    <cfRule type="containsText" dxfId="7" priority="1" operator="containsText" text="Paid">
      <formula>NOT(ISERROR(SEARCH("Paid",G1)))</formula>
    </cfRule>
    <cfRule type="containsText" dxfId="6" priority="2" operator="containsText" text="Partial">
      <formula>NOT(ISERROR(SEARCH("Partial",G1)))</formula>
    </cfRule>
    <cfRule type="containsText" dxfId="5" priority="3" operator="containsText" text="Open">
      <formula>NOT(ISERROR(SEARCH("Open",G1)))</formula>
    </cfRule>
  </conditionalFormatting>
  <conditionalFormatting sqref="H1:H1048576">
    <cfRule type="containsText" dxfId="4" priority="4" operator="containsText" text="Pending">
      <formula>NOT(ISERROR(SEARCH("Pending",H1)))</formula>
    </cfRule>
  </conditionalFormatting>
  <conditionalFormatting sqref="J1:J1048576">
    <cfRule type="containsText" dxfId="3" priority="5" operator="containsText" text="91-365">
      <formula>NOT(ISERROR(SEARCH("91-365",J1)))</formula>
    </cfRule>
    <cfRule type="containsText" dxfId="2" priority="6" operator="containsText" text="91-365">
      <formula>NOT(ISERROR(SEARCH("91-365",J1)))</formula>
    </cfRule>
    <cfRule type="containsText" dxfId="1" priority="7" operator="containsText" text="1 Year+">
      <formula>NOT(ISERROR(SEARCH("1 Year+",J1)))</formula>
    </cfRule>
  </conditionalFormatting>
  <conditionalFormatting sqref="O12:T12">
    <cfRule type="containsText" dxfId="0" priority="8" operator="containsText" text="1 Year+">
      <formula>NOT(ISERROR(SEARCH("1 Year+",O12)))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E7EE-AFBE-4D21-ACE3-CF38E7EFAE24}">
  <dimension ref="A1:B5"/>
  <sheetViews>
    <sheetView showGridLines="0" workbookViewId="0">
      <selection activeCell="O19" sqref="O19"/>
    </sheetView>
  </sheetViews>
  <sheetFormatPr defaultRowHeight="15" x14ac:dyDescent="0.25"/>
  <cols>
    <col min="1" max="1" width="11.28515625" bestFit="1" customWidth="1"/>
    <col min="2" max="2" width="18.42578125" bestFit="1" customWidth="1"/>
  </cols>
  <sheetData>
    <row r="1" spans="1:2" x14ac:dyDescent="0.25">
      <c r="A1" s="21" t="s">
        <v>826</v>
      </c>
      <c r="B1" t="s">
        <v>838</v>
      </c>
    </row>
    <row r="2" spans="1:2" x14ac:dyDescent="0.25">
      <c r="A2" s="22" t="s">
        <v>834</v>
      </c>
      <c r="B2" s="14">
        <v>985364.42475000094</v>
      </c>
    </row>
    <row r="3" spans="1:2" x14ac:dyDescent="0.25">
      <c r="A3" s="22" t="s">
        <v>835</v>
      </c>
      <c r="B3" s="14">
        <v>146779.17775000003</v>
      </c>
    </row>
    <row r="4" spans="1:2" hidden="1" x14ac:dyDescent="0.25">
      <c r="A4" s="22" t="s">
        <v>836</v>
      </c>
      <c r="B4" s="14">
        <v>0</v>
      </c>
    </row>
    <row r="5" spans="1:2" x14ac:dyDescent="0.25">
      <c r="A5" s="22" t="s">
        <v>837</v>
      </c>
      <c r="B5" s="14">
        <v>1132143.602500001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5D00-0E22-4235-8594-372564ABD6A7}">
  <dimension ref="A1:B7"/>
  <sheetViews>
    <sheetView showGridLines="0" workbookViewId="0">
      <selection activeCell="Q23" sqref="Q23"/>
    </sheetView>
  </sheetViews>
  <sheetFormatPr defaultRowHeight="15" x14ac:dyDescent="0.25"/>
  <cols>
    <col min="1" max="1" width="12.5703125" bestFit="1" customWidth="1"/>
    <col min="2" max="2" width="18.42578125" bestFit="1" customWidth="1"/>
  </cols>
  <sheetData>
    <row r="1" spans="1:2" x14ac:dyDescent="0.25">
      <c r="A1" s="21" t="s">
        <v>1</v>
      </c>
      <c r="B1" t="s">
        <v>838</v>
      </c>
    </row>
    <row r="2" spans="1:2" x14ac:dyDescent="0.25">
      <c r="A2" s="22" t="s">
        <v>806</v>
      </c>
      <c r="B2" s="14">
        <v>256910.73485000004</v>
      </c>
    </row>
    <row r="3" spans="1:2" x14ac:dyDescent="0.25">
      <c r="A3" s="22" t="s">
        <v>808</v>
      </c>
      <c r="B3" s="14">
        <v>232094.10689999984</v>
      </c>
    </row>
    <row r="4" spans="1:2" x14ac:dyDescent="0.25">
      <c r="A4" s="22" t="s">
        <v>810</v>
      </c>
      <c r="B4" s="14">
        <v>216748.25770000007</v>
      </c>
    </row>
    <row r="5" spans="1:2" x14ac:dyDescent="0.25">
      <c r="A5" s="22" t="s">
        <v>809</v>
      </c>
      <c r="B5" s="14">
        <v>214132.55554999999</v>
      </c>
    </row>
    <row r="6" spans="1:2" x14ac:dyDescent="0.25">
      <c r="A6" s="22" t="s">
        <v>807</v>
      </c>
      <c r="B6" s="14">
        <v>212257.94750000007</v>
      </c>
    </row>
    <row r="7" spans="1:2" x14ac:dyDescent="0.25">
      <c r="A7" s="22" t="s">
        <v>837</v>
      </c>
      <c r="B7" s="14">
        <v>1132143.6025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C348-A0DD-4CD3-BDAE-628208B789DB}">
  <dimension ref="A1:B5"/>
  <sheetViews>
    <sheetView showGridLines="0" workbookViewId="0">
      <selection activeCell="B3" sqref="B3"/>
    </sheetView>
  </sheetViews>
  <sheetFormatPr defaultRowHeight="15" x14ac:dyDescent="0.25"/>
  <cols>
    <col min="1" max="1" width="11.28515625" bestFit="1" customWidth="1"/>
    <col min="2" max="2" width="5.7109375" bestFit="1" customWidth="1"/>
  </cols>
  <sheetData>
    <row r="1" spans="1:2" x14ac:dyDescent="0.25">
      <c r="A1" s="21" t="s">
        <v>4</v>
      </c>
      <c r="B1" t="s">
        <v>839</v>
      </c>
    </row>
    <row r="2" spans="1:2" x14ac:dyDescent="0.25">
      <c r="A2" s="22" t="s">
        <v>817</v>
      </c>
      <c r="B2">
        <v>276</v>
      </c>
    </row>
    <row r="3" spans="1:2" x14ac:dyDescent="0.25">
      <c r="A3" s="22" t="s">
        <v>816</v>
      </c>
      <c r="B3">
        <v>267</v>
      </c>
    </row>
    <row r="4" spans="1:2" x14ac:dyDescent="0.25">
      <c r="A4" s="22" t="s">
        <v>818</v>
      </c>
      <c r="B4">
        <v>257</v>
      </c>
    </row>
    <row r="5" spans="1:2" x14ac:dyDescent="0.25">
      <c r="A5" s="22" t="s">
        <v>837</v>
      </c>
      <c r="B5">
        <v>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31F3-AC5C-460B-B754-645A3C49E41C}">
  <dimension ref="A1:C7"/>
  <sheetViews>
    <sheetView showGridLines="0" workbookViewId="0">
      <selection activeCell="R19" sqref="R19"/>
    </sheetView>
  </sheetViews>
  <sheetFormatPr defaultRowHeight="15" x14ac:dyDescent="0.25"/>
  <cols>
    <col min="1" max="1" width="11.28515625" bestFit="1" customWidth="1"/>
    <col min="2" max="2" width="20.140625" bestFit="1" customWidth="1"/>
    <col min="3" max="3" width="15" bestFit="1" customWidth="1"/>
  </cols>
  <sheetData>
    <row r="1" spans="1:3" x14ac:dyDescent="0.25">
      <c r="A1" s="21" t="s">
        <v>3</v>
      </c>
      <c r="B1" t="s">
        <v>841</v>
      </c>
      <c r="C1" t="s">
        <v>842</v>
      </c>
    </row>
    <row r="2" spans="1:3" x14ac:dyDescent="0.25">
      <c r="A2" s="22" t="s">
        <v>815</v>
      </c>
      <c r="B2" s="14">
        <v>472805.17999999982</v>
      </c>
      <c r="C2" s="14">
        <v>685567.51099999971</v>
      </c>
    </row>
    <row r="3" spans="1:3" x14ac:dyDescent="0.25">
      <c r="A3" s="22" t="s">
        <v>812</v>
      </c>
      <c r="B3" s="14">
        <v>389043.18000000023</v>
      </c>
      <c r="C3" s="14">
        <v>536879.58840000012</v>
      </c>
    </row>
    <row r="4" spans="1:3" x14ac:dyDescent="0.25">
      <c r="A4" s="22" t="s">
        <v>814</v>
      </c>
      <c r="B4" s="14">
        <v>429911.86000000016</v>
      </c>
      <c r="C4" s="14">
        <v>429911.86000000016</v>
      </c>
    </row>
    <row r="5" spans="1:3" x14ac:dyDescent="0.25">
      <c r="A5" s="22" t="s">
        <v>813</v>
      </c>
      <c r="B5" s="14">
        <v>451267.4200000001</v>
      </c>
      <c r="C5" s="14">
        <v>338450.56499999994</v>
      </c>
    </row>
    <row r="6" spans="1:3" x14ac:dyDescent="0.25">
      <c r="A6" s="22" t="s">
        <v>811</v>
      </c>
      <c r="B6" s="14">
        <v>344494.64999999997</v>
      </c>
      <c r="C6" s="14">
        <v>296265.39899999998</v>
      </c>
    </row>
    <row r="7" spans="1:3" x14ac:dyDescent="0.25">
      <c r="A7" s="22" t="s">
        <v>837</v>
      </c>
      <c r="B7" s="14">
        <v>2087522.2900000003</v>
      </c>
      <c r="C7" s="14">
        <v>2287074.9233999997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6A87A-1F35-4220-BFFB-B601F0FD7C09}">
  <dimension ref="A1:C9"/>
  <sheetViews>
    <sheetView showGridLines="0" workbookViewId="0">
      <selection activeCell="Q22" sqref="Q22"/>
    </sheetView>
  </sheetViews>
  <sheetFormatPr defaultRowHeight="15" x14ac:dyDescent="0.25"/>
  <cols>
    <col min="1" max="1" width="14.5703125" bestFit="1" customWidth="1"/>
    <col min="2" max="2" width="20" bestFit="1" customWidth="1"/>
    <col min="3" max="3" width="18.42578125" bestFit="1" customWidth="1"/>
  </cols>
  <sheetData>
    <row r="1" spans="1:3" x14ac:dyDescent="0.25">
      <c r="A1" s="21" t="s">
        <v>826</v>
      </c>
      <c r="B1" t="s">
        <v>843</v>
      </c>
    </row>
    <row r="3" spans="1:3" x14ac:dyDescent="0.25">
      <c r="A3" s="21" t="s">
        <v>1</v>
      </c>
      <c r="B3" t="s">
        <v>844</v>
      </c>
      <c r="C3" t="s">
        <v>845</v>
      </c>
    </row>
    <row r="4" spans="1:3" x14ac:dyDescent="0.25">
      <c r="A4" s="22" t="s">
        <v>808</v>
      </c>
      <c r="B4" s="23">
        <v>0.20500412349413052</v>
      </c>
      <c r="C4" s="14">
        <v>232094.10689999984</v>
      </c>
    </row>
    <row r="5" spans="1:3" x14ac:dyDescent="0.25">
      <c r="A5" s="22" t="s">
        <v>806</v>
      </c>
      <c r="B5" s="23">
        <v>0.43192828248128523</v>
      </c>
      <c r="C5" s="14">
        <v>256910.73485000004</v>
      </c>
    </row>
    <row r="6" spans="1:3" x14ac:dyDescent="0.25">
      <c r="A6" s="22" t="s">
        <v>807</v>
      </c>
      <c r="B6" s="23">
        <v>0.61941151961771557</v>
      </c>
      <c r="C6" s="14">
        <v>212257.94750000007</v>
      </c>
    </row>
    <row r="7" spans="1:3" x14ac:dyDescent="0.25">
      <c r="A7" s="22" t="s">
        <v>809</v>
      </c>
      <c r="B7" s="23">
        <v>0.80855056088169686</v>
      </c>
      <c r="C7" s="14">
        <v>214132.55554999999</v>
      </c>
    </row>
    <row r="8" spans="1:3" x14ac:dyDescent="0.25">
      <c r="A8" s="22" t="s">
        <v>810</v>
      </c>
      <c r="B8" s="23">
        <v>1</v>
      </c>
      <c r="C8" s="14">
        <v>216748.25770000007</v>
      </c>
    </row>
    <row r="9" spans="1:3" x14ac:dyDescent="0.25">
      <c r="A9" s="22" t="s">
        <v>837</v>
      </c>
      <c r="B9" s="23"/>
      <c r="C9" s="14">
        <v>1132143.6025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FC00-5CEE-487B-AD86-B1190F94682E}">
  <dimension ref="A1:B7"/>
  <sheetViews>
    <sheetView showGridLines="0" workbookViewId="0">
      <selection activeCell="N27" sqref="N27"/>
    </sheetView>
  </sheetViews>
  <sheetFormatPr defaultRowHeight="15" x14ac:dyDescent="0.25"/>
  <cols>
    <col min="1" max="1" width="13.140625" bestFit="1" customWidth="1"/>
    <col min="2" max="3" width="13.28515625" bestFit="1" customWidth="1"/>
  </cols>
  <sheetData>
    <row r="1" spans="1:2" x14ac:dyDescent="0.25">
      <c r="A1" s="21" t="s">
        <v>840</v>
      </c>
      <c r="B1" t="s">
        <v>847</v>
      </c>
    </row>
    <row r="2" spans="1:2" x14ac:dyDescent="0.25">
      <c r="A2" s="22" t="s">
        <v>808</v>
      </c>
      <c r="B2" s="14">
        <v>229289.54649999997</v>
      </c>
    </row>
    <row r="3" spans="1:2" x14ac:dyDescent="0.25">
      <c r="A3" s="22" t="s">
        <v>806</v>
      </c>
      <c r="B3" s="14">
        <v>269100.68294999993</v>
      </c>
    </row>
    <row r="4" spans="1:2" x14ac:dyDescent="0.25">
      <c r="A4" s="22" t="s">
        <v>807</v>
      </c>
      <c r="B4" s="14">
        <v>218115.64610000001</v>
      </c>
    </row>
    <row r="5" spans="1:2" x14ac:dyDescent="0.25">
      <c r="A5" s="22" t="s">
        <v>809</v>
      </c>
      <c r="B5" s="14">
        <v>216492.26104999997</v>
      </c>
    </row>
    <row r="6" spans="1:2" x14ac:dyDescent="0.25">
      <c r="A6" s="22" t="s">
        <v>810</v>
      </c>
      <c r="B6" s="14">
        <v>221933.18430000002</v>
      </c>
    </row>
    <row r="7" spans="1:2" x14ac:dyDescent="0.25">
      <c r="A7" s="22" t="s">
        <v>837</v>
      </c>
      <c r="B7" s="14">
        <v>1154931.3208999999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2F3A-A250-4A24-8ED5-3CF8AE020A96}">
  <dimension ref="A1:AG7"/>
  <sheetViews>
    <sheetView showGridLines="0" tabSelected="1" zoomScale="66" zoomScaleNormal="66" workbookViewId="0">
      <selection activeCell="AM26" sqref="AM26"/>
    </sheetView>
  </sheetViews>
  <sheetFormatPr defaultRowHeight="15" x14ac:dyDescent="0.25"/>
  <sheetData>
    <row r="1" spans="1:33" ht="15" customHeight="1" x14ac:dyDescent="0.25">
      <c r="A1" s="24" t="s">
        <v>846</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spans="1:33" ht="15" customHeight="1"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row>
    <row r="3" spans="1:33" ht="15" customHeight="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row>
    <row r="4" spans="1:33" ht="15" customHeight="1" x14ac:dyDescent="0.2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row>
    <row r="5" spans="1:33" ht="15" customHeight="1"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row>
    <row r="6" spans="1:33" ht="15" customHeight="1" x14ac:dyDescent="0.25">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row>
    <row r="7" spans="1:33" ht="15" customHeight="1" x14ac:dyDescent="0.2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row>
  </sheetData>
  <mergeCells count="1">
    <mergeCell ref="A1:A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Working Sheet</vt:lpstr>
      <vt:lpstr>Pivot Table #1</vt:lpstr>
      <vt:lpstr>Pivot Table #2</vt:lpstr>
      <vt:lpstr>Pivot Table #3</vt:lpstr>
      <vt:lpstr>Pivot Table #4</vt:lpstr>
      <vt:lpstr>Pivot Table #5</vt:lpstr>
      <vt:lpstr>Pivot Table #6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rachelle fraga</cp:lastModifiedBy>
  <dcterms:created xsi:type="dcterms:W3CDTF">2025-06-28T04:56:09Z</dcterms:created>
  <dcterms:modified xsi:type="dcterms:W3CDTF">2026-03-26T16:31:08Z</dcterms:modified>
</cp:coreProperties>
</file>